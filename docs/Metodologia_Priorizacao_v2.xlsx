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Configuração" sheetId="2" state="visible" r:id="rId4"/>
    <sheet name="Critérios" sheetId="3" state="visible" r:id="rId5"/>
    <sheet name="Portfólio Pontuado" sheetId="4" state="visible" r:id="rId6"/>
    <sheet name="Pilares Estratégicos" sheetId="5" state="visible" r:id="rId7"/>
    <sheet name="Matriz" sheetId="6" state="visible" r:id="rId8"/>
    <sheet name="Resumo" sheetId="7" state="visible" r:id="rId9"/>
  </sheets>
  <definedNames>
    <definedName function="false" hidden="true" localSheetId="3" name="_xlnm._FilterDatabase" vbProcedure="false">'Portfólio Pontuado'!$A$4:$V$81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<sst xmlns="http://schemas.openxmlformats.org/spreadsheetml/2006/main" count="763" uniqueCount="304">
  <si>
    <t xml:space="preserve">Metodologia de Priorização v2 — Matriz de Impacto × Esforço</t>
  </si>
  <si>
    <t xml:space="preserve">Sistema FIEA • Setor de Tecnologias Digitais • Anexo A v2</t>
  </si>
  <si>
    <t xml:space="preserve">O que mudou em relação à versão anterior</t>
  </si>
  <si>
    <t xml:space="preserve">  • Aderência Estratégica passa de 25% para 35% e amarra cada demanda a um dos 19 objetivos do Mapa Estratégico Regional 2026-2028.</t>
  </si>
  <si>
    <t xml:space="preserve">  • Risco Regulatório reduzido de 20% para 15% — evita dupla contagem com o pilar F2 (Governança e Compliance).</t>
  </si>
  <si>
    <t xml:space="preserve">  • Novo critério Alcance (10%) — captura quantas pessoas, áreas ou unidades são impactadas pela entrega.</t>
  </si>
  <si>
    <t xml:space="preserve">  • Cliente, Financeiro e Eficiência redistribuídos para acomodar o novo peso da Estratégia.</t>
  </si>
  <si>
    <t xml:space="preserve">  • Modulador de criticidade estratégica (× 0,8 / × 1,0 / × 1,3) — aplicado pelo PMO conforme decisão anual de focos do ciclo.</t>
  </si>
  <si>
    <t xml:space="preserve">  • Confiança da estimativa (Alta / Média / Baixa) — divide o impacto por 1,5 quando a baixa, penalizando chute sem dados.</t>
  </si>
  <si>
    <t xml:space="preserve">  • Visualização da matriz ganha overlay: cor do ponto = perspectiva do Mapa, tamanho = profundidade do impacto estratégico.</t>
  </si>
  <si>
    <t xml:space="preserve">Como usar esta planilha</t>
  </si>
  <si>
    <t xml:space="preserve">  • Aba Configuração — define modulador de cada pilar do Mapa. Hoje todos em 1.0 (PMO ativa quando definir focos do ciclo).</t>
  </si>
  <si>
    <t xml:space="preserve">  • Aba Critérios — referência das escalas 1 a 5 de cada um dos 11 critérios.</t>
  </si>
  <si>
    <t xml:space="preserve">  • Aba Pilares Estratégicos — referência dos 19 objetivos do Mapa Regional 2026-2028 codificados.</t>
  </si>
  <si>
    <t xml:space="preserve">  • Aba Portfólio Pontuado — os 77 projetos pré-classificados. Revise as colunas em destaque azul. Confiança começa em Baixa — quando o PO validar, eleve.</t>
  </si>
  <si>
    <t xml:space="preserve">  • Aba Matriz — visualização Impacto × Esforço com os 4 quadrantes. Cada ponto é um projeto.</t>
  </si>
  <si>
    <t xml:space="preserve">  • Aba Resumo — distribuição por quadrante e por perspectiva.</t>
  </si>
  <si>
    <t xml:space="preserve">Como ler os quadrantes</t>
  </si>
  <si>
    <t xml:space="preserve">  • Quick Win — alto impacto, baixo esforço. Fazer primeiro.</t>
  </si>
  <si>
    <t xml:space="preserve">  • Big Bet — alto impacto, alto esforço. Planejar com cuidado, exige sponsor.</t>
  </si>
  <si>
    <t xml:space="preserve">  • Fill In — baixo impacto, baixo esforço. Encaixar quando der.</t>
  </si>
  <si>
    <t xml:space="preserve">  • Money Pit — baixo impacto, alto esforço. Evitar ou recusar.</t>
  </si>
  <si>
    <t xml:space="preserve">  • Linha divisória em 3.0 nos dois eixos. Ajustável pelo PMO conforme calibração.</t>
  </si>
  <si>
    <t xml:space="preserve">Fórmula</t>
  </si>
  <si>
    <t xml:space="preserve">  Impacto bruto = (Aderência × 35%) + (Cliente × 15%) + (Financeiro × 15%) + (Eficiência × 10%) + (Risco × 15%) + (Alcance × 10%)</t>
  </si>
  <si>
    <t xml:space="preserve">  Impacto efetivo = (Impacto bruto × Modulador do pilar) ÷ Divisor de confiança</t>
  </si>
  <si>
    <t xml:space="preserve">  Esforço = (Documentação × 15%) + (Áreas × 15%) + (Maturidade × 20%) + (Complexidade × 25%) + (Integrações × 25%)</t>
  </si>
  <si>
    <t xml:space="preserve">  Quadrante = lookup(Impacto, Esforço) na matriz 2×2 com corte em 3.0.</t>
  </si>
  <si>
    <t xml:space="preserve">Configuração da Metodologia</t>
  </si>
  <si>
    <t xml:space="preserve">Pesos dos critérios</t>
  </si>
  <si>
    <t xml:space="preserve">Eixo Impacto</t>
  </si>
  <si>
    <t xml:space="preserve">Aderência Estratégica</t>
  </si>
  <si>
    <t xml:space="preserve">Cliente</t>
  </si>
  <si>
    <t xml:space="preserve">Financeiro</t>
  </si>
  <si>
    <t xml:space="preserve">Eficiência Operacional</t>
  </si>
  <si>
    <t xml:space="preserve">Risco Regulatório</t>
  </si>
  <si>
    <t xml:space="preserve">Alcance</t>
  </si>
  <si>
    <t xml:space="preserve">Total Impacto</t>
  </si>
  <si>
    <t xml:space="preserve">Eixo Esforço</t>
  </si>
  <si>
    <t xml:space="preserve">Documentação existente</t>
  </si>
  <si>
    <t xml:space="preserve">Áreas envolvidas</t>
  </si>
  <si>
    <t xml:space="preserve">Maturidade do escopo</t>
  </si>
  <si>
    <t xml:space="preserve">Complexidade técnica</t>
  </si>
  <si>
    <t xml:space="preserve">Integrações e dependências</t>
  </si>
  <si>
    <t xml:space="preserve">Total Esforço</t>
  </si>
  <si>
    <t xml:space="preserve">Fator de Confiança da Estimativa</t>
  </si>
  <si>
    <t xml:space="preserve">Nível</t>
  </si>
  <si>
    <t xml:space="preserve">Divisor</t>
  </si>
  <si>
    <t xml:space="preserve">Descrição</t>
  </si>
  <si>
    <t xml:space="preserve">Alta</t>
  </si>
  <si>
    <t xml:space="preserve">Estimativa baseada em dados sólidos</t>
  </si>
  <si>
    <t xml:space="preserve">Média</t>
  </si>
  <si>
    <t xml:space="preserve">Estimativa razoável, parte por inferência</t>
  </si>
  <si>
    <t xml:space="preserve">Baixa</t>
  </si>
  <si>
    <t xml:space="preserve">Estimativa sem dados — divide o impacto</t>
  </si>
  <si>
    <t xml:space="preserve">Modulador de Criticidade Estratégica por Pilar</t>
  </si>
  <si>
    <t xml:space="preserve">Defina anualmente com a diretoria. × 1.3 para pilares de foco do ciclo, × 0.8 para sustentação, × 1.0 padrão. Hoje todos em 1.0.</t>
  </si>
  <si>
    <t xml:space="preserve">Código</t>
  </si>
  <si>
    <t xml:space="preserve">Objetivo Estratégico</t>
  </si>
  <si>
    <t xml:space="preserve">Modulador</t>
  </si>
  <si>
    <t xml:space="preserve">F1</t>
  </si>
  <si>
    <t xml:space="preserve">Sustentabilidade financeira e institucional</t>
  </si>
  <si>
    <t xml:space="preserve">F2</t>
  </si>
  <si>
    <t xml:space="preserve">Governança Corporativa e Compliance</t>
  </si>
  <si>
    <t xml:space="preserve">F3</t>
  </si>
  <si>
    <t xml:space="preserve">Impacto ambiental e social positivo</t>
  </si>
  <si>
    <t xml:space="preserve">M1</t>
  </si>
  <si>
    <t xml:space="preserve">Fortalecer a marca em atributos e propósito</t>
  </si>
  <si>
    <t xml:space="preserve">I1</t>
  </si>
  <si>
    <t xml:space="preserve">Negócios sustentáveis e inovadores</t>
  </si>
  <si>
    <t xml:space="preserve">I2</t>
  </si>
  <si>
    <t xml:space="preserve">Soluções e produtos inovadores</t>
  </si>
  <si>
    <t xml:space="preserve">I3</t>
  </si>
  <si>
    <t xml:space="preserve">Cultura da inovação como motor</t>
  </si>
  <si>
    <t xml:space="preserve">C1</t>
  </si>
  <si>
    <t xml:space="preserve">Ampliar cobertura da indústria</t>
  </si>
  <si>
    <t xml:space="preserve">C2</t>
  </si>
  <si>
    <t xml:space="preserve">Conquistar, reter e expandir clientes</t>
  </si>
  <si>
    <t xml:space="preserve">C3</t>
  </si>
  <si>
    <t xml:space="preserve">Dominar pontos de contato com cliente</t>
  </si>
  <si>
    <t xml:space="preserve">O1</t>
  </si>
  <si>
    <t xml:space="preserve">Saúde e Segurança como solução</t>
  </si>
  <si>
    <t xml:space="preserve">O2</t>
  </si>
  <si>
    <t xml:space="preserve">Qualidade pedagógica Sesi</t>
  </si>
  <si>
    <t xml:space="preserve">O3</t>
  </si>
  <si>
    <t xml:space="preserve">Qualidade pedagógica Educação Profissional</t>
  </si>
  <si>
    <t xml:space="preserve">O4</t>
  </si>
  <si>
    <t xml:space="preserve">Expandir Serviços de Tecnologia e Inovação</t>
  </si>
  <si>
    <t xml:space="preserve">O5</t>
  </si>
  <si>
    <t xml:space="preserve">Gestão por processos</t>
  </si>
  <si>
    <t xml:space="preserve">O6</t>
  </si>
  <si>
    <t xml:space="preserve">Digitalização integrada</t>
  </si>
  <si>
    <t xml:space="preserve">O7</t>
  </si>
  <si>
    <t xml:space="preserve">Inteligência institucional e dados</t>
  </si>
  <si>
    <t xml:space="preserve">H1</t>
  </si>
  <si>
    <t xml:space="preserve">Talentos estratégicos e alta performance</t>
  </si>
  <si>
    <t xml:space="preserve">H2</t>
  </si>
  <si>
    <t xml:space="preserve">Lideranças com visão estratégica</t>
  </si>
  <si>
    <t xml:space="preserve">Critérios de Pontuação — Escalas 1 a 5</t>
  </si>
  <si>
    <t xml:space="preserve">EIXO IMPACTO</t>
  </si>
  <si>
    <t xml:space="preserve">Critério</t>
  </si>
  <si>
    <t xml:space="preserve">Peso</t>
  </si>
  <si>
    <t xml:space="preserve">1 (mínimo)</t>
  </si>
  <si>
    <t xml:space="preserve">3 (médio)</t>
  </si>
  <si>
    <t xml:space="preserve">5 (máximo)</t>
  </si>
  <si>
    <t xml:space="preserve">35%</t>
  </si>
  <si>
    <t xml:space="preserve">Sem aderência a nenhum dos 19 objetivos do Mapa</t>
  </si>
  <si>
    <t xml:space="preserve">Contribui com profundidade média para um pilar</t>
  </si>
  <si>
    <t xml:space="preserve">Sustentação central de um pilar do Mapa</t>
  </si>
  <si>
    <t xml:space="preserve">15%</t>
  </si>
  <si>
    <t xml:space="preserve">Não impacta experiência do cliente</t>
  </si>
  <si>
    <t xml:space="preserve">Impacto moderado em satisfação</t>
  </si>
  <si>
    <t xml:space="preserve">Transforma experiência do cliente final</t>
  </si>
  <si>
    <t xml:space="preserve">Sem impacto financeiro relevante</t>
  </si>
  <si>
    <t xml:space="preserve">Economia ou receita moderada</t>
  </si>
  <si>
    <t xml:space="preserve">Grande potencial de transformação econômica</t>
  </si>
  <si>
    <t xml:space="preserve">10%</t>
  </si>
  <si>
    <t xml:space="preserve">Não traz ganho de eficiência</t>
  </si>
  <si>
    <t xml:space="preserve">Ganho moderado de eficiência</t>
  </si>
  <si>
    <t xml:space="preserve">Efeito significativo em indicadores e chamados</t>
  </si>
  <si>
    <t xml:space="preserve">Sem implicação regulatória</t>
  </si>
  <si>
    <t xml:space="preserve">Implicação moderada, sem prazo crítico</t>
  </si>
  <si>
    <t xml:space="preserve">Crítico em LGPD, ANPD, TCU ou Sistema S</t>
  </si>
  <si>
    <t xml:space="preserve">Afeta &lt; 50 pessoas ou 1 unidade</t>
  </si>
  <si>
    <t xml:space="preserve">Afeta 500-5.000 pessoas ou múltiplas unidades</t>
  </si>
  <si>
    <t xml:space="preserve">Afeta &gt; 10.000 pessoas ou todo o Sistema FIEA</t>
  </si>
  <si>
    <t xml:space="preserve">EIXO ESFORÇO</t>
  </si>
  <si>
    <t xml:space="preserve">Documentação</t>
  </si>
  <si>
    <t xml:space="preserve">Documento qualificado do estado atual</t>
  </si>
  <si>
    <t xml:space="preserve">Documento existe mas não qualificado</t>
  </si>
  <si>
    <t xml:space="preserve">Não possui documentação</t>
  </si>
  <si>
    <t xml:space="preserve">Até 2 áreas</t>
  </si>
  <si>
    <t xml:space="preserve">3 a 4 áreas</t>
  </si>
  <si>
    <t xml:space="preserve">5 ou mais áreas</t>
  </si>
  <si>
    <t xml:space="preserve">20%</t>
  </si>
  <si>
    <t xml:space="preserve">Escopo claro, requisitos definidos</t>
  </si>
  <si>
    <t xml:space="preserve">Escopo parcial, alguns refinamentos</t>
  </si>
  <si>
    <t xml:space="preserve">Escopo em construção, muitos requisitos a definir</t>
  </si>
  <si>
    <t xml:space="preserve">25%</t>
  </si>
  <si>
    <t xml:space="preserve">Solução simples, padrões conhecidos</t>
  </si>
  <si>
    <t xml:space="preserve">Média complexidade, alguns padrões novos</t>
  </si>
  <si>
    <t xml:space="preserve">Alta complexidade, arquitetura ou tecnologia novas</t>
  </si>
  <si>
    <t xml:space="preserve">Integrações</t>
  </si>
  <si>
    <t xml:space="preserve">Solução isolada, sem integrações</t>
  </si>
  <si>
    <t xml:space="preserve">Integra com 1-2 sistemas internos</t>
  </si>
  <si>
    <t xml:space="preserve">Múltiplas integrações com legados e terceiros</t>
  </si>
  <si>
    <t xml:space="preserve">Portfólio Pontuado — Metodologia v2</t>
  </si>
  <si>
    <t xml:space="preserve">Colunas com fundo claro foram pré-classificadas por heurística e devem ser revisadas pelo PMO. Confiança começa em Baixa — eleve para Média/Alta após validação.</t>
  </si>
  <si>
    <t xml:space="preserve">Projeto</t>
  </si>
  <si>
    <t xml:space="preserve">PO</t>
  </si>
  <si>
    <t xml:space="preserve">Diretoria</t>
  </si>
  <si>
    <t xml:space="preserve">Pilar</t>
  </si>
  <si>
    <t xml:space="preserve">Aderência</t>
  </si>
  <si>
    <t xml:space="preserve">Financ.</t>
  </si>
  <si>
    <t xml:space="preserve">Efic.</t>
  </si>
  <si>
    <t xml:space="preserve">Risco</t>
  </si>
  <si>
    <t xml:space="preserve">Doc.</t>
  </si>
  <si>
    <t xml:space="preserve">Áreas</t>
  </si>
  <si>
    <t xml:space="preserve">Matur.</t>
  </si>
  <si>
    <t xml:space="preserve">Complex.</t>
  </si>
  <si>
    <t xml:space="preserve">Integr.</t>
  </si>
  <si>
    <t xml:space="preserve">Confiança</t>
  </si>
  <si>
    <t xml:space="preserve">Impacto bruto</t>
  </si>
  <si>
    <t xml:space="preserve">Div. Conf.</t>
  </si>
  <si>
    <t xml:space="preserve">IMPACTO</t>
  </si>
  <si>
    <t xml:space="preserve">ESFORÇO</t>
  </si>
  <si>
    <t xml:space="preserve">QUADRANTE</t>
  </si>
  <si>
    <t xml:space="preserve">Matrícula no AVA | Automação</t>
  </si>
  <si>
    <t xml:space="preserve">Claudio Vieira</t>
  </si>
  <si>
    <t xml:space="preserve">Diretoria de Educação</t>
  </si>
  <si>
    <t xml:space="preserve">Automação Ponto Extra</t>
  </si>
  <si>
    <t xml:space="preserve">Cadastro | Email do RH</t>
  </si>
  <si>
    <t xml:space="preserve">Contrato - Valor Total</t>
  </si>
  <si>
    <t xml:space="preserve">Senai Conecta | Melhoria</t>
  </si>
  <si>
    <t xml:space="preserve">Gestão de telefonia móvel</t>
  </si>
  <si>
    <t xml:space="preserve">Ewerton Costa do Nascimento</t>
  </si>
  <si>
    <t xml:space="preserve">Diretoria de Serviços Compartilhados</t>
  </si>
  <si>
    <t xml:space="preserve">Corrida Sesi</t>
  </si>
  <si>
    <t xml:space="preserve">Francisco Oliveira - Mesha 71</t>
  </si>
  <si>
    <t xml:space="preserve">Diretoria de Segurança e Saúde</t>
  </si>
  <si>
    <t xml:space="preserve">Gestão de atividades</t>
  </si>
  <si>
    <t xml:space="preserve">nan</t>
  </si>
  <si>
    <t xml:space="preserve">Mensageria - FRPRT</t>
  </si>
  <si>
    <t xml:space="preserve">IsMarkting - Solicitações de serviços de marketing</t>
  </si>
  <si>
    <t xml:space="preserve">Diretoria Comercial e Marketing</t>
  </si>
  <si>
    <t xml:space="preserve">Avaliação FRPRT - METODOLOGIA DN</t>
  </si>
  <si>
    <t xml:space="preserve">Sistema de Gerenciamento de Treinamentos</t>
  </si>
  <si>
    <t xml:space="preserve">Solução de Saúde</t>
  </si>
  <si>
    <t xml:space="preserve">15321</t>
  </si>
  <si>
    <t xml:space="preserve">Administrar Solicitações de Assessoria de Imprensa</t>
  </si>
  <si>
    <t xml:space="preserve">Análise de Vulnerabilidades em SST</t>
  </si>
  <si>
    <t xml:space="preserve">Athena: inovação em processos e governança</t>
  </si>
  <si>
    <t xml:space="preserve">Avaliação FRPRT - Pacote de melhorias</t>
  </si>
  <si>
    <t xml:space="preserve">EPA - Administrar ocorrências</t>
  </si>
  <si>
    <t xml:space="preserve">ID-Docs – Criação e otimização de integração entre ferramentas.</t>
  </si>
  <si>
    <t xml:space="preserve">IDigital - Otimização na experiência do cliente, praticidade, integração e agili</t>
  </si>
  <si>
    <t xml:space="preserve">Diretoria de Gestão Estratégica</t>
  </si>
  <si>
    <t xml:space="preserve">Ivy - Chatbot voltado para políticas internas, estrutura organizacional, complia</t>
  </si>
  <si>
    <t xml:space="preserve">Otto - IA orçamentário</t>
  </si>
  <si>
    <t xml:space="preserve">Solução de Saúde - contratação</t>
  </si>
  <si>
    <t xml:space="preserve">Portal Pense</t>
  </si>
  <si>
    <t xml:space="preserve">Isabela Maria</t>
  </si>
  <si>
    <t xml:space="preserve">Integração de dados transacionais do E-commerce com o Rubeus</t>
  </si>
  <si>
    <t xml:space="preserve">Itala Lessa</t>
  </si>
  <si>
    <t xml:space="preserve">Mapeamento e testes dos fluxos de entrada de leads no CRM Rubeus</t>
  </si>
  <si>
    <t xml:space="preserve">Melhoria Rubeus - Integração de campo entre SGE e Rubeus</t>
  </si>
  <si>
    <t xml:space="preserve">Pacote de Melhorias Rubeus - Ajustes na Jornada do Aluno</t>
  </si>
  <si>
    <t xml:space="preserve">Integraview</t>
  </si>
  <si>
    <t xml:space="preserve">Correção das Automações de Mensagens do Funil E-commerce</t>
  </si>
  <si>
    <t xml:space="preserve">Pacote de melhorias no formulário de matrícula de cursos profissionais</t>
  </si>
  <si>
    <t xml:space="preserve">Projeto Melhoria - Crachá</t>
  </si>
  <si>
    <t xml:space="preserve">Jordy de Jesus Oliveira</t>
  </si>
  <si>
    <t xml:space="preserve">Solicitação de Viagens - v1.7</t>
  </si>
  <si>
    <t xml:space="preserve">Lucas Loureiro de Barros Lima</t>
  </si>
  <si>
    <t xml:space="preserve">Suprimentos - Módulo de Requisição</t>
  </si>
  <si>
    <t xml:space="preserve">Transportes 1.3.0</t>
  </si>
  <si>
    <t xml:space="preserve">Fortalecimento de segurança no acesso da Solução 360</t>
  </si>
  <si>
    <t xml:space="preserve">Transportes 1.2</t>
  </si>
  <si>
    <t xml:space="preserve">Solicitação de Viagens - v1.6</t>
  </si>
  <si>
    <t xml:space="preserve">Suprimentos - Gestão de Catálogos</t>
  </si>
  <si>
    <t xml:space="preserve">Mapeamento de Risco</t>
  </si>
  <si>
    <t xml:space="preserve">Maxsuel</t>
  </si>
  <si>
    <t xml:space="preserve">Presidência</t>
  </si>
  <si>
    <t xml:space="preserve">IDCortex</t>
  </si>
  <si>
    <t xml:space="preserve">Maxsuel Martiniano</t>
  </si>
  <si>
    <t xml:space="preserve">Pacote de Melhorias - Capacita +</t>
  </si>
  <si>
    <t xml:space="preserve">Gestão de Risco Estratégico</t>
  </si>
  <si>
    <t xml:space="preserve">Henri</t>
  </si>
  <si>
    <t xml:space="preserve">Pitter Silva</t>
  </si>
  <si>
    <t xml:space="preserve">Plataforma de Captação de Recursos - HUB</t>
  </si>
  <si>
    <t xml:space="preserve">Diretoria de Tecnologia, Inovação e Sustentabilidade Industrial</t>
  </si>
  <si>
    <t xml:space="preserve">FormTrack - Metrologia</t>
  </si>
  <si>
    <t xml:space="preserve">Executar e Monitorar Serviços de Metrologia</t>
  </si>
  <si>
    <t xml:space="preserve">MetroLIMS - Metrologia</t>
  </si>
  <si>
    <t xml:space="preserve">Automação de Registro Online RM TOTVS</t>
  </si>
  <si>
    <t xml:space="preserve">Ricardo de Franca Dantas</t>
  </si>
  <si>
    <t xml:space="preserve">Automação de Cancelamento de Registro Online de Boletos - SGE</t>
  </si>
  <si>
    <t xml:space="preserve">Melhorias E-commerce</t>
  </si>
  <si>
    <t xml:space="preserve">Pacote de Melhorias</t>
  </si>
  <si>
    <t xml:space="preserve">Automação da Integração Contábil SGE (RM) x Microsoft Dynamics</t>
  </si>
  <si>
    <t xml:space="preserve">Implantação e Integração de NFSe no RM TOTVS Educacional</t>
  </si>
  <si>
    <t xml:space="preserve">Modernização e Conformidade Financeira</t>
  </si>
  <si>
    <t xml:space="preserve">Parametrização e Integração Acadêmico-Financeira-Contábil - Educação Continuada</t>
  </si>
  <si>
    <t xml:space="preserve">Automação de Contratos Educacionais (E-commerce)</t>
  </si>
  <si>
    <t xml:space="preserve">Automação de Notificações da Fase Empresa</t>
  </si>
  <si>
    <t xml:space="preserve">API REST para Geração de Parcelas no TOTVS RM</t>
  </si>
  <si>
    <t xml:space="preserve">Cadastro de Aluno SENAI</t>
  </si>
  <si>
    <t xml:space="preserve">Calculadora de Desempenho v2</t>
  </si>
  <si>
    <t xml:space="preserve">Campanha de Matrículas EB 2026</t>
  </si>
  <si>
    <t xml:space="preserve">Diagnóstico e Otimização de Performance do Ecossistema RM</t>
  </si>
  <si>
    <t xml:space="preserve">Plataforma AVA para o Reforço Escolar (Projeto Aprender - SESI)</t>
  </si>
  <si>
    <t xml:space="preserve">Sistema de Avaliação de Atividades Ofertadas</t>
  </si>
  <si>
    <t xml:space="preserve">TOTVS Pagamentos Digitais - PIX</t>
  </si>
  <si>
    <t xml:space="preserve">Interact</t>
  </si>
  <si>
    <t xml:space="preserve">Ronaldo de Melo - Mesha</t>
  </si>
  <si>
    <t xml:space="preserve">Pacote de Melhoria - Orquestra</t>
  </si>
  <si>
    <t xml:space="preserve">Pacote de Melhoria - Produção Inteligente</t>
  </si>
  <si>
    <t xml:space="preserve">Migração de Processos - Orquestra</t>
  </si>
  <si>
    <t xml:space="preserve">Pacote de Melhorias - Simulador de Gratuidade</t>
  </si>
  <si>
    <t xml:space="preserve">Pacote de Melhorias - Zeev</t>
  </si>
  <si>
    <t xml:space="preserve">PROJETO CRÍTICO - AUDITORIA</t>
  </si>
  <si>
    <t xml:space="preserve">TI</t>
  </si>
  <si>
    <t xml:space="preserve">Sistema para Prestação de Contas de Projetos</t>
  </si>
  <si>
    <t xml:space="preserve">Mapa Estratégico Regional 2026-2028 — 19 objetivos</t>
  </si>
  <si>
    <t xml:space="preserve">Propósito: Transformar a vida das pessoas e das indústrias como ponte para o futuro</t>
  </si>
  <si>
    <t xml:space="preserve">Perspectiva</t>
  </si>
  <si>
    <t xml:space="preserve">Financeiro &amp; Administrativo</t>
  </si>
  <si>
    <t xml:space="preserve">Marca</t>
  </si>
  <si>
    <t xml:space="preserve">Inovação</t>
  </si>
  <si>
    <t xml:space="preserve">Capital Organizacional</t>
  </si>
  <si>
    <t xml:space="preserve">Capital Humano</t>
  </si>
  <si>
    <t xml:space="preserve">Matriz Impacto × Esforço — 77 projetos</t>
  </si>
  <si>
    <t xml:space="preserve">Cada ponto é um projeto. Eixo X = Esforço (1-5), Eixo Y = Impacto Efetivo (1-5). Linhas em 3.0 dividem os quadrantes.</t>
  </si>
  <si>
    <t xml:space="preserve">Legenda das cores</t>
  </si>
  <si>
    <t xml:space="preserve">Dados auxiliares para gráfico (ocultos do usuário)</t>
  </si>
  <si>
    <t xml:space="preserve">F</t>
  </si>
  <si>
    <t xml:space="preserve">Esforço</t>
  </si>
  <si>
    <t xml:space="preserve">Impacto</t>
  </si>
  <si>
    <t xml:space="preserve">M</t>
  </si>
  <si>
    <t xml:space="preserve">I</t>
  </si>
  <si>
    <t xml:space="preserve">C</t>
  </si>
  <si>
    <t xml:space="preserve">O</t>
  </si>
  <si>
    <t xml:space="preserve">H</t>
  </si>
  <si>
    <t xml:space="preserve">Resumo do Portfólio</t>
  </si>
  <si>
    <t xml:space="preserve">Distribuição por quadrante</t>
  </si>
  <si>
    <t xml:space="preserve">Distribuição por perspectiva</t>
  </si>
  <si>
    <t xml:space="preserve">Quadrante</t>
  </si>
  <si>
    <t xml:space="preserve">Projetos</t>
  </si>
  <si>
    <t xml:space="preserve">% portfólio</t>
  </si>
  <si>
    <t xml:space="preserve">Quick Win</t>
  </si>
  <si>
    <t xml:space="preserve">Big Bet</t>
  </si>
  <si>
    <t xml:space="preserve">Fill In</t>
  </si>
  <si>
    <t xml:space="preserve">Money Pit</t>
  </si>
  <si>
    <t xml:space="preserve">Métricas-chave</t>
  </si>
  <si>
    <t xml:space="preserve">Total de projetos</t>
  </si>
  <si>
    <t xml:space="preserve">Impacto efetivo médio</t>
  </si>
  <si>
    <t xml:space="preserve">Esforço médio</t>
  </si>
  <si>
    <t xml:space="preserve">Projetos com confiança Baixa</t>
  </si>
  <si>
    <t xml:space="preserve">% com confiança Baixa</t>
  </si>
  <si>
    <t xml:space="preserve">Observações desta primeira rodada</t>
  </si>
  <si>
    <t xml:space="preserve">• Toda confiança começa em Baixa porque os scores foram pré-classificados por heurística (título + diretoria). À medida que cada PO validar, eleve para Média/Alta — o impacto efetivo sobe automaticamente.</t>
  </si>
  <si>
    <t xml:space="preserve">• Modulador de criticidade está em 1.0 para todos os 19 pilares. Quando a diretoria definir focos do ciclo 2026, ajuste na aba Configuração — todos os scores recalculam.</t>
  </si>
  <si>
    <t xml:space="preserve">• Linhas divisórias dos quadrantes em 3.0. Calibre conforme o portfólio: se quase tudo cair em Quick Win, suba para 3.5. Se quase tudo cair em Money Pit, desça para 2.5.</t>
  </si>
  <si>
    <t xml:space="preserve">• Os pré-scores são chute educado — não é vergonha mudar 30-40% deles na primeira passagem. A planilha só vale o que o PMO investe revisando.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</si>
</sst>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0.00"/>
    <numFmt numFmtId="168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1"/>
      <color rgb="FF262626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i val="true"/>
      <sz val="8"/>
      <color rgb="FF999999"/>
      <name val="Cambria"/>
      <family val="0"/>
      <charset val="1"/>
    </font>
    <font>
      <b val="true"/>
      <sz val="8"/>
      <name val="Cambria"/>
      <family val="0"/>
      <charset val="1"/>
    </font>
    <font>
      <b val="true"/>
      <sz val="18"/>
      <color rgb="FF000000"/>
      <name val="Calibri"/>
      <family val="2"/>
    </font>
    <font>
      <b val="true"/>
      <sz val="12"/>
      <name val="Calibri"/>
      <family val="0"/>
      <charset val="1"/>
    </font>
    <font>
      <sz val="10"/>
      <color rgb="FF262626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9D9D9"/>
      </patternFill>
    </fill>
    <fill>
      <patternFill patternType="solid">
        <fgColor rgb="FF70AD47"/>
        <bgColor rgb="FF729F4F"/>
      </patternFill>
    </fill>
    <fill>
      <patternFill patternType="solid">
        <fgColor rgb="FFEAF1F9"/>
        <bgColor rgb="FFF2F2F2"/>
      </patternFill>
    </fill>
    <fill>
      <patternFill patternType="solid">
        <fgColor rgb="FF548235"/>
        <bgColor rgb="FF729F4F"/>
      </patternFill>
    </fill>
    <fill>
      <patternFill patternType="solid">
        <fgColor rgb="FF5B9BD5"/>
        <bgColor rgb="FF8FAADC"/>
      </patternFill>
    </fill>
    <fill>
      <patternFill patternType="solid">
        <fgColor rgb="FFED7D31"/>
        <bgColor rgb="FFFF8080"/>
      </patternFill>
    </fill>
    <fill>
      <patternFill patternType="solid">
        <fgColor rgb="FF8FAADC"/>
        <bgColor rgb="FF999999"/>
      </patternFill>
    </fill>
    <fill>
      <patternFill patternType="solid">
        <fgColor rgb="FF729F4F"/>
        <bgColor rgb="FF70AD47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AF1F9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14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4" fillId="6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15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4" fillId="7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16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4" fillId="8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4" fillId="9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4" fillId="1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8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1F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BF1D2"/>
          <bgColor rgb="FF000000"/>
        </patternFill>
      </fill>
    </dxf>
    <dxf>
      <fill>
        <patternFill patternType="solid">
          <fgColor rgb="FFD0F2D6"/>
          <bgColor rgb="FF000000"/>
        </patternFill>
      </fill>
    </dxf>
    <dxf>
      <fill>
        <patternFill patternType="solid">
          <fgColor rgb="FFD2F3D8"/>
          <bgColor rgb="FF000000"/>
        </patternFill>
      </fill>
    </dxf>
    <dxf>
      <fill>
        <patternFill patternType="solid">
          <fgColor rgb="FFD9F5DE"/>
          <bgColor rgb="FF000000"/>
        </patternFill>
      </fill>
    </dxf>
    <dxf>
      <fill>
        <patternFill patternType="solid">
          <fgColor rgb="FFDDF6E2"/>
          <bgColor rgb="FF000000"/>
        </patternFill>
      </fill>
    </dxf>
    <dxf>
      <fill>
        <patternFill patternType="solid">
          <fgColor rgb="FFE0F7E4"/>
          <bgColor rgb="FF000000"/>
        </patternFill>
      </fill>
    </dxf>
    <dxf>
      <fill>
        <patternFill patternType="solid">
          <fgColor rgb="FFE2F7E6"/>
          <bgColor rgb="FF000000"/>
        </patternFill>
      </fill>
    </dxf>
    <dxf>
      <fill>
        <patternFill patternType="solid">
          <fgColor rgb="FFE4F8E8"/>
          <bgColor rgb="FF000000"/>
        </patternFill>
      </fill>
    </dxf>
    <dxf>
      <fill>
        <patternFill patternType="solid">
          <fgColor rgb="FFE6F8EA"/>
          <bgColor rgb="FF000000"/>
        </patternFill>
      </fill>
    </dxf>
    <dxf>
      <fill>
        <patternFill patternType="solid">
          <fgColor rgb="FFE9F9EC"/>
          <bgColor rgb="FF000000"/>
        </patternFill>
      </fill>
    </dxf>
    <dxf>
      <fill>
        <patternFill patternType="solid">
          <fgColor rgb="FFEBFAEE"/>
          <bgColor rgb="FF000000"/>
        </patternFill>
      </fill>
    </dxf>
    <dxf>
      <fill>
        <patternFill patternType="solid">
          <fgColor rgb="FFF2FCF4"/>
          <bgColor rgb="FF000000"/>
        </patternFill>
      </fill>
    </dxf>
    <dxf>
      <fill>
        <patternFill patternType="solid">
          <fgColor rgb="FFF4FCF6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ED4"/>
          <bgColor rgb="FF000000"/>
        </patternFill>
      </fill>
    </dxf>
    <dxf>
      <fill>
        <patternFill patternType="solid">
          <fgColor rgb="FFFFDEE2"/>
          <bgColor rgb="FF000000"/>
        </patternFill>
      </fill>
    </dxf>
    <dxf>
      <fill>
        <patternFill patternType="solid">
          <fgColor rgb="FFFFE2E6"/>
          <bgColor rgb="FF000000"/>
        </patternFill>
      </fill>
    </dxf>
    <dxf>
      <fill>
        <patternFill patternType="solid">
          <fgColor rgb="FFFFEAED"/>
          <bgColor rgb="FF000000"/>
        </patternFill>
      </fill>
    </dxf>
    <dxf>
      <fill>
        <patternFill patternType="solid">
          <fgColor rgb="FFFFF2F4"/>
          <bgColor rgb="FF000000"/>
        </patternFill>
      </fill>
    </dxf>
    <dxf>
      <fill>
        <patternFill patternType="solid">
          <fgColor rgb="FFFFFAFB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F5E2"/>
          <bgColor rgb="FF000000"/>
        </patternFill>
      </fill>
    </dxf>
    <dxf>
      <fill>
        <patternFill patternType="solid">
          <fgColor rgb="FFE2F6E6"/>
          <bgColor rgb="FF000000"/>
        </patternFill>
      </fill>
    </dxf>
    <dxf>
      <fill>
        <patternFill patternType="solid">
          <fgColor rgb="FFF5FCF6"/>
          <bgColor rgb="FF000000"/>
        </patternFill>
      </fill>
    </dxf>
    <dxf>
      <fill>
        <patternFill patternType="solid">
          <fgColor rgb="FFFAFDFA"/>
          <bgColor rgb="FF000000"/>
        </patternFill>
      </fill>
    </dxf>
    <dxf>
      <fill>
        <patternFill patternType="solid">
          <fgColor rgb="FFFFD6DB"/>
          <bgColor rgb="FF000000"/>
        </patternFill>
      </fill>
    </dxf>
    <dxf>
      <fill>
        <patternFill patternType="solid">
          <fgColor rgb="FFFFE5E8"/>
          <bgColor rgb="FF000000"/>
        </patternFill>
      </fill>
    </dxf>
    <dxf>
      <fill>
        <patternFill patternType="solid">
          <fgColor rgb="FFFFE8EB"/>
          <bgColor rgb="FF000000"/>
        </patternFill>
      </fill>
    </dxf>
    <dxf>
      <fill>
        <patternFill patternType="solid">
          <fgColor rgb="FFFFF4F5"/>
          <bgColor rgb="FF000000"/>
        </patternFill>
      </fill>
    </dxf>
    <dxf>
      <fill>
        <patternFill patternType="solid">
          <fgColor rgb="FFFFF7F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1F3864"/>
      </font>
      <fill>
        <patternFill>
          <bgColor rgb="FFD9E1F2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D9D9D9"/>
      <rgbColor rgb="FF729F4F"/>
      <rgbColor rgb="FF8FAADC"/>
      <rgbColor rgb="FF993366"/>
      <rgbColor rgb="FFF2F2F2"/>
      <rgbColor rgb="FFEAF1F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FC7CE"/>
      <rgbColor rgb="FF2E75B6"/>
      <rgbColor rgb="FF5B9BD5"/>
      <rgbColor rgb="FF99CC00"/>
      <rgbColor rgb="FFFFCC00"/>
      <rgbColor rgb="FFFF9900"/>
      <rgbColor rgb="FFED7D31"/>
      <rgbColor rgb="FF595959"/>
      <rgbColor rgb="FF999999"/>
      <rgbColor rgb="FF1F3864"/>
      <rgbColor rgb="FF70AD47"/>
      <rgbColor rgb="FF003300"/>
      <rgbColor rgb="FF333300"/>
      <rgbColor rgb="FF9C57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Matriz Impacto × Esforço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70ad47"/>
            </a:solidFill>
            <a:ln w="47520">
              <a:noFill/>
            </a:ln>
          </c:spPr>
          <c:marker>
            <c:symbol val="circle"/>
            <c:size val="10"/>
            <c:spPr>
              <a:solidFill>
                <a:srgbClr val="70ad47"/>
              </a:solidFill>
            </c:spPr>
          </c:marker>
          <c:smooth val="1"/>
        </c:ser>
        <c:ser>
          <c:idx val="1"/>
          <c:order val="1"/>
          <c:spPr>
            <a:solidFill>
              <a:srgbClr val="5b9bd5"/>
            </a:solidFill>
            <a:ln w="47520">
              <a:noFill/>
            </a:ln>
          </c:spPr>
          <c:marker>
            <c:symbol val="circle"/>
            <c:size val="10"/>
            <c:spPr>
              <a:solidFill>
                <a:srgbClr val="5b9bd5"/>
              </a:solidFill>
            </c:spPr>
          </c:marker>
          <c:smooth val="1"/>
        </c:ser>
        <c:ser>
          <c:idx val="2"/>
          <c:order val="2"/>
          <c:spPr>
            <a:solidFill>
              <a:srgbClr val="ed7d31"/>
            </a:solidFill>
            <a:ln w="47520">
              <a:noFill/>
            </a:ln>
          </c:spPr>
          <c:marker>
            <c:symbol val="circle"/>
            <c:size val="10"/>
            <c:spPr>
              <a:solidFill>
                <a:srgbClr val="ed7d31"/>
              </a:solidFill>
            </c:spPr>
          </c:marker>
          <c:smooth val="1"/>
        </c:ser>
        <c:ser>
          <c:idx val="3"/>
          <c:order val="3"/>
          <c:spPr>
            <a:solidFill>
              <a:srgbClr val="8faadc"/>
            </a:solidFill>
            <a:ln w="47520">
              <a:noFill/>
            </a:ln>
          </c:spPr>
          <c:marker>
            <c:symbol val="circle"/>
            <c:size val="10"/>
            <c:spPr>
              <a:solidFill>
                <a:srgbClr val="8faadc"/>
              </a:solidFill>
            </c:spPr>
          </c:marker>
          <c:smooth val="1"/>
        </c:ser>
        <c:ser>
          <c:idx val="4"/>
          <c:order val="4"/>
          <c:spPr>
            <a:solidFill>
              <a:srgbClr val="729f4f"/>
            </a:solidFill>
            <a:ln w="47520">
              <a:noFill/>
            </a:ln>
          </c:spPr>
          <c:marker>
            <c:symbol val="circle"/>
            <c:size val="10"/>
            <c:spPr>
              <a:solidFill>
                <a:srgbClr val="729f4f"/>
              </a:solidFill>
            </c:spPr>
          </c:marker>
          <c:smooth val="1"/>
        </c:ser>
        <c:axId val="31505622"/>
        <c:axId val="88546237"/>
      </c:scatterChart>
      <c:valAx>
        <c:axId val="31505622"/>
        <c:scaling>
          <c:orientation val="minMax"/>
          <c:max val="5.5"/>
          <c:min val="0.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Esforço →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546237"/>
        <c:crosses val="autoZero"/>
        <c:crossBetween val="midCat"/>
        <c:majorUnit val="1"/>
      </c:valAx>
      <c:valAx>
        <c:axId val="88546237"/>
        <c:scaling>
          <c:orientation val="minMax"/>
          <c:max val="5.5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Impacto Efetivo →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505622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18</xdr:col>
      <xdr:colOff>78120</xdr:colOff>
      <xdr:row>48</xdr:row>
      <xdr:rowOff>2160</xdr:rowOff>
    </xdr:to>
    <xdr:graphicFrame>
      <xdr:nvGraphicFramePr>
        <xdr:cNvPr id="1" name="Chart 1"/>
        <xdr:cNvGraphicFramePr/>
      </xdr:nvGraphicFramePr>
      <xdr:xfrm>
        <a:off x="211320" y="2828880"/>
        <a:ext cx="8639280" cy="64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2" customFormat="false" ht="30" hidden="false" customHeight="tru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7.5" hidden="false" customHeight="true" outlineLevel="0" collapsed="false">
      <c r="B5" s="4"/>
    </row>
    <row r="6" customFormat="false" ht="21.75" hidden="false" customHeight="true" outlineLevel="0" collapsed="false">
      <c r="B6" s="5" t="s">
        <v>2</v>
      </c>
    </row>
    <row r="7" customFormat="false" ht="21.75" hidden="false" customHeight="true" outlineLevel="0" collapsed="false">
      <c r="B7" s="4" t="s">
        <v>3</v>
      </c>
    </row>
    <row r="8" customFormat="false" ht="21.75" hidden="false" customHeight="true" outlineLevel="0" collapsed="false">
      <c r="B8" s="4" t="s">
        <v>4</v>
      </c>
    </row>
    <row r="9" customFormat="false" ht="21.75" hidden="false" customHeight="true" outlineLevel="0" collapsed="false">
      <c r="B9" s="4" t="s">
        <v>5</v>
      </c>
    </row>
    <row r="10" customFormat="false" ht="21.75" hidden="false" customHeight="true" outlineLevel="0" collapsed="false">
      <c r="B10" s="4" t="s">
        <v>6</v>
      </c>
    </row>
    <row r="11" customFormat="false" ht="21.75" hidden="false" customHeight="true" outlineLevel="0" collapsed="false">
      <c r="B11" s="4" t="s">
        <v>7</v>
      </c>
    </row>
    <row r="12" customFormat="false" ht="21.75" hidden="false" customHeight="true" outlineLevel="0" collapsed="false">
      <c r="B12" s="4" t="s">
        <v>8</v>
      </c>
    </row>
    <row r="13" customFormat="false" ht="21.75" hidden="false" customHeight="true" outlineLevel="0" collapsed="false">
      <c r="B13" s="4" t="s">
        <v>9</v>
      </c>
    </row>
    <row r="14" customFormat="false" ht="7.5" hidden="false" customHeight="true" outlineLevel="0" collapsed="false">
      <c r="B14" s="4"/>
    </row>
    <row r="15" customFormat="false" ht="21.75" hidden="false" customHeight="true" outlineLevel="0" collapsed="false">
      <c r="B15" s="5" t="s">
        <v>10</v>
      </c>
    </row>
    <row r="16" customFormat="false" ht="21.75" hidden="false" customHeight="true" outlineLevel="0" collapsed="false">
      <c r="B16" s="4" t="s">
        <v>11</v>
      </c>
    </row>
    <row r="17" customFormat="false" ht="21.75" hidden="false" customHeight="true" outlineLevel="0" collapsed="false">
      <c r="B17" s="4" t="s">
        <v>12</v>
      </c>
    </row>
    <row r="18" customFormat="false" ht="21.75" hidden="false" customHeight="true" outlineLevel="0" collapsed="false">
      <c r="B18" s="4" t="s">
        <v>13</v>
      </c>
    </row>
    <row r="19" customFormat="false" ht="21.75" hidden="false" customHeight="true" outlineLevel="0" collapsed="false">
      <c r="B19" s="4" t="s">
        <v>14</v>
      </c>
    </row>
    <row r="20" customFormat="false" ht="21.75" hidden="false" customHeight="true" outlineLevel="0" collapsed="false">
      <c r="B20" s="4" t="s">
        <v>15</v>
      </c>
    </row>
    <row r="21" customFormat="false" ht="21.75" hidden="false" customHeight="true" outlineLevel="0" collapsed="false">
      <c r="B21" s="4" t="s">
        <v>16</v>
      </c>
    </row>
    <row r="22" customFormat="false" ht="7.5" hidden="false" customHeight="true" outlineLevel="0" collapsed="false">
      <c r="B22" s="4"/>
    </row>
    <row r="23" customFormat="false" ht="21.75" hidden="false" customHeight="true" outlineLevel="0" collapsed="false">
      <c r="B23" s="5" t="s">
        <v>17</v>
      </c>
    </row>
    <row r="24" customFormat="false" ht="21.75" hidden="false" customHeight="true" outlineLevel="0" collapsed="false">
      <c r="B24" s="4" t="s">
        <v>18</v>
      </c>
    </row>
    <row r="25" customFormat="false" ht="21.75" hidden="false" customHeight="true" outlineLevel="0" collapsed="false">
      <c r="B25" s="4" t="s">
        <v>19</v>
      </c>
    </row>
    <row r="26" customFormat="false" ht="21.75" hidden="false" customHeight="true" outlineLevel="0" collapsed="false">
      <c r="B26" s="4" t="s">
        <v>20</v>
      </c>
    </row>
    <row r="27" customFormat="false" ht="21.75" hidden="false" customHeight="true" outlineLevel="0" collapsed="false">
      <c r="B27" s="4" t="s">
        <v>21</v>
      </c>
    </row>
    <row r="28" customFormat="false" ht="21.75" hidden="false" customHeight="true" outlineLevel="0" collapsed="false">
      <c r="B28" s="4" t="s">
        <v>22</v>
      </c>
    </row>
    <row r="29" customFormat="false" ht="7.5" hidden="false" customHeight="true" outlineLevel="0" collapsed="false">
      <c r="B29" s="4"/>
    </row>
    <row r="30" customFormat="false" ht="21.75" hidden="false" customHeight="true" outlineLevel="0" collapsed="false">
      <c r="B30" s="5" t="s">
        <v>23</v>
      </c>
    </row>
    <row r="31" customFormat="false" ht="21.75" hidden="false" customHeight="true" outlineLevel="0" collapsed="false">
      <c r="B31" s="4" t="s">
        <v>24</v>
      </c>
    </row>
    <row r="32" customFormat="false" ht="21.75" hidden="false" customHeight="true" outlineLevel="0" collapsed="false">
      <c r="B32" s="4" t="s">
        <v>25</v>
      </c>
    </row>
    <row r="33" customFormat="false" ht="21.75" hidden="false" customHeight="true" outlineLevel="0" collapsed="false">
      <c r="B33" s="4" t="s">
        <v>26</v>
      </c>
    </row>
    <row r="34" customFormat="false" ht="21.75" hidden="false" customHeight="true" outlineLevel="0" collapsed="false">
      <c r="B34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0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50"/>
    <col collapsed="false" customWidth="true" hidden="false" outlineLevel="0" max="4" min="4" style="1" width="16"/>
    <col collapsed="false" customWidth="true" hidden="false" outlineLevel="0" max="5" min="5" style="1" width="30"/>
  </cols>
  <sheetData>
    <row r="2" customFormat="false" ht="27.75" hidden="false" customHeight="true" outlineLevel="0" collapsed="false">
      <c r="B2" s="6" t="s">
        <v>28</v>
      </c>
      <c r="C2" s="6"/>
      <c r="D2" s="6"/>
      <c r="E2" s="6"/>
    </row>
    <row r="4" customFormat="false" ht="15" hidden="false" customHeight="false" outlineLevel="0" collapsed="false">
      <c r="B4" s="7" t="s">
        <v>29</v>
      </c>
      <c r="C4" s="7"/>
      <c r="D4" s="7"/>
      <c r="E4" s="7"/>
    </row>
    <row r="6" customFormat="false" ht="15" hidden="false" customHeight="false" outlineLevel="0" collapsed="false">
      <c r="B6" s="8" t="s">
        <v>30</v>
      </c>
    </row>
    <row r="7" customFormat="false" ht="22.45" hidden="false" customHeight="false" outlineLevel="0" collapsed="false">
      <c r="B7" s="9" t="s">
        <v>31</v>
      </c>
      <c r="C7" s="10" t="n">
        <v>0.35</v>
      </c>
    </row>
    <row r="8" customFormat="false" ht="15" hidden="false" customHeight="false" outlineLevel="0" collapsed="false">
      <c r="B8" s="9" t="s">
        <v>32</v>
      </c>
      <c r="C8" s="10" t="n">
        <v>0.15</v>
      </c>
    </row>
    <row r="9" customFormat="false" ht="15" hidden="false" customHeight="false" outlineLevel="0" collapsed="false">
      <c r="B9" s="9" t="s">
        <v>33</v>
      </c>
      <c r="C9" s="10" t="n">
        <v>0.15</v>
      </c>
    </row>
    <row r="10" customFormat="false" ht="22.45" hidden="false" customHeight="false" outlineLevel="0" collapsed="false">
      <c r="B10" s="9" t="s">
        <v>34</v>
      </c>
      <c r="C10" s="10" t="n">
        <v>0.1</v>
      </c>
    </row>
    <row r="11" customFormat="false" ht="22.45" hidden="false" customHeight="false" outlineLevel="0" collapsed="false">
      <c r="B11" s="9" t="s">
        <v>35</v>
      </c>
      <c r="C11" s="10" t="n">
        <v>0.15</v>
      </c>
    </row>
    <row r="12" customFormat="false" ht="15" hidden="false" customHeight="false" outlineLevel="0" collapsed="false">
      <c r="B12" s="9" t="s">
        <v>36</v>
      </c>
      <c r="C12" s="10" t="n">
        <v>0.1</v>
      </c>
    </row>
    <row r="13" customFormat="false" ht="15" hidden="false" customHeight="false" outlineLevel="0" collapsed="false">
      <c r="B13" s="11" t="s">
        <v>37</v>
      </c>
      <c r="C13" s="12" t="n">
        <f aca="false">SUM(C7:C12)</f>
        <v>1</v>
      </c>
    </row>
    <row r="15" customFormat="false" ht="15" hidden="false" customHeight="false" outlineLevel="0" collapsed="false">
      <c r="B15" s="8" t="s">
        <v>38</v>
      </c>
    </row>
    <row r="16" customFormat="false" ht="22.45" hidden="false" customHeight="false" outlineLevel="0" collapsed="false">
      <c r="B16" s="9" t="s">
        <v>39</v>
      </c>
      <c r="C16" s="10" t="n">
        <v>0.15</v>
      </c>
    </row>
    <row r="17" customFormat="false" ht="22.45" hidden="false" customHeight="false" outlineLevel="0" collapsed="false">
      <c r="B17" s="9" t="s">
        <v>40</v>
      </c>
      <c r="C17" s="10" t="n">
        <v>0.15</v>
      </c>
    </row>
    <row r="18" customFormat="false" ht="22.45" hidden="false" customHeight="false" outlineLevel="0" collapsed="false">
      <c r="B18" s="9" t="s">
        <v>41</v>
      </c>
      <c r="C18" s="10" t="n">
        <v>0.2</v>
      </c>
    </row>
    <row r="19" customFormat="false" ht="22.45" hidden="false" customHeight="false" outlineLevel="0" collapsed="false">
      <c r="B19" s="9" t="s">
        <v>42</v>
      </c>
      <c r="C19" s="10" t="n">
        <v>0.25</v>
      </c>
    </row>
    <row r="20" customFormat="false" ht="22.45" hidden="false" customHeight="false" outlineLevel="0" collapsed="false">
      <c r="B20" s="9" t="s">
        <v>43</v>
      </c>
      <c r="C20" s="10" t="n">
        <v>0.25</v>
      </c>
    </row>
    <row r="21" customFormat="false" ht="15" hidden="false" customHeight="false" outlineLevel="0" collapsed="false">
      <c r="B21" s="11" t="s">
        <v>44</v>
      </c>
      <c r="C21" s="12" t="n">
        <f aca="false">SUM(C16:C20)</f>
        <v>1</v>
      </c>
    </row>
    <row r="23" customFormat="false" ht="15" hidden="false" customHeight="false" outlineLevel="0" collapsed="false">
      <c r="B23" s="7" t="s">
        <v>45</v>
      </c>
      <c r="C23" s="7"/>
      <c r="D23" s="7"/>
      <c r="E23" s="7"/>
    </row>
    <row r="24" customFormat="false" ht="15" hidden="false" customHeight="false" outlineLevel="0" collapsed="false">
      <c r="B24" s="11" t="s">
        <v>46</v>
      </c>
      <c r="C24" s="11" t="s">
        <v>47</v>
      </c>
      <c r="D24" s="11" t="s">
        <v>48</v>
      </c>
    </row>
    <row r="25" customFormat="false" ht="15" hidden="false" customHeight="true" outlineLevel="0" collapsed="false">
      <c r="B25" s="13" t="s">
        <v>49</v>
      </c>
      <c r="C25" s="14" t="n">
        <v>1</v>
      </c>
      <c r="D25" s="9" t="s">
        <v>50</v>
      </c>
      <c r="E25" s="9"/>
    </row>
    <row r="26" customFormat="false" ht="15" hidden="false" customHeight="true" outlineLevel="0" collapsed="false">
      <c r="B26" s="13" t="s">
        <v>51</v>
      </c>
      <c r="C26" s="14" t="n">
        <v>1</v>
      </c>
      <c r="D26" s="9" t="s">
        <v>52</v>
      </c>
      <c r="E26" s="9"/>
    </row>
    <row r="27" customFormat="false" ht="15" hidden="false" customHeight="true" outlineLevel="0" collapsed="false">
      <c r="B27" s="13" t="s">
        <v>53</v>
      </c>
      <c r="C27" s="14" t="n">
        <v>1.5</v>
      </c>
      <c r="D27" s="9" t="s">
        <v>54</v>
      </c>
      <c r="E27" s="9"/>
    </row>
    <row r="29" customFormat="false" ht="15" hidden="false" customHeight="false" outlineLevel="0" collapsed="false">
      <c r="B29" s="7" t="s">
        <v>55</v>
      </c>
      <c r="C29" s="7"/>
      <c r="D29" s="7"/>
      <c r="E29" s="7"/>
    </row>
    <row r="30" customFormat="false" ht="15" hidden="false" customHeight="false" outlineLevel="0" collapsed="false">
      <c r="B30" s="15" t="s">
        <v>56</v>
      </c>
      <c r="C30" s="15"/>
      <c r="D30" s="15"/>
      <c r="E30" s="15"/>
    </row>
    <row r="31" customFormat="false" ht="15" hidden="false" customHeight="false" outlineLevel="0" collapsed="false">
      <c r="B31" s="16" t="s">
        <v>57</v>
      </c>
      <c r="C31" s="16" t="s">
        <v>58</v>
      </c>
      <c r="D31" s="16" t="s">
        <v>59</v>
      </c>
    </row>
    <row r="32" customFormat="false" ht="15" hidden="false" customHeight="false" outlineLevel="0" collapsed="false">
      <c r="B32" s="17" t="s">
        <v>60</v>
      </c>
      <c r="C32" s="9" t="s">
        <v>61</v>
      </c>
      <c r="D32" s="18" t="n">
        <v>1</v>
      </c>
    </row>
    <row r="33" customFormat="false" ht="15" hidden="false" customHeight="false" outlineLevel="0" collapsed="false">
      <c r="B33" s="17" t="s">
        <v>62</v>
      </c>
      <c r="C33" s="9" t="s">
        <v>63</v>
      </c>
      <c r="D33" s="18" t="n">
        <v>1</v>
      </c>
    </row>
    <row r="34" customFormat="false" ht="15" hidden="false" customHeight="false" outlineLevel="0" collapsed="false">
      <c r="B34" s="17" t="s">
        <v>64</v>
      </c>
      <c r="C34" s="9" t="s">
        <v>65</v>
      </c>
      <c r="D34" s="18" t="n">
        <v>1</v>
      </c>
    </row>
    <row r="35" customFormat="false" ht="15" hidden="false" customHeight="false" outlineLevel="0" collapsed="false">
      <c r="B35" s="19" t="s">
        <v>66</v>
      </c>
      <c r="C35" s="9" t="s">
        <v>67</v>
      </c>
      <c r="D35" s="18" t="n">
        <v>1</v>
      </c>
    </row>
    <row r="36" customFormat="false" ht="15" hidden="false" customHeight="false" outlineLevel="0" collapsed="false">
      <c r="B36" s="20" t="s">
        <v>68</v>
      </c>
      <c r="C36" s="9" t="s">
        <v>69</v>
      </c>
      <c r="D36" s="18" t="n">
        <v>1</v>
      </c>
    </row>
    <row r="37" customFormat="false" ht="15" hidden="false" customHeight="false" outlineLevel="0" collapsed="false">
      <c r="B37" s="20" t="s">
        <v>70</v>
      </c>
      <c r="C37" s="9" t="s">
        <v>71</v>
      </c>
      <c r="D37" s="18" t="n">
        <v>1</v>
      </c>
    </row>
    <row r="38" customFormat="false" ht="15" hidden="false" customHeight="false" outlineLevel="0" collapsed="false">
      <c r="B38" s="20" t="s">
        <v>72</v>
      </c>
      <c r="C38" s="9" t="s">
        <v>73</v>
      </c>
      <c r="D38" s="18" t="n">
        <v>1</v>
      </c>
    </row>
    <row r="39" customFormat="false" ht="15" hidden="false" customHeight="false" outlineLevel="0" collapsed="false">
      <c r="B39" s="21" t="s">
        <v>74</v>
      </c>
      <c r="C39" s="9" t="s">
        <v>75</v>
      </c>
      <c r="D39" s="18" t="n">
        <v>1</v>
      </c>
    </row>
    <row r="40" customFormat="false" ht="15" hidden="false" customHeight="false" outlineLevel="0" collapsed="false">
      <c r="B40" s="21" t="s">
        <v>76</v>
      </c>
      <c r="C40" s="9" t="s">
        <v>77</v>
      </c>
      <c r="D40" s="18" t="n">
        <v>1</v>
      </c>
    </row>
    <row r="41" customFormat="false" ht="15" hidden="false" customHeight="false" outlineLevel="0" collapsed="false">
      <c r="B41" s="21" t="s">
        <v>78</v>
      </c>
      <c r="C41" s="9" t="s">
        <v>79</v>
      </c>
      <c r="D41" s="18" t="n">
        <v>1</v>
      </c>
    </row>
    <row r="42" customFormat="false" ht="15" hidden="false" customHeight="false" outlineLevel="0" collapsed="false">
      <c r="B42" s="22" t="s">
        <v>80</v>
      </c>
      <c r="C42" s="9" t="s">
        <v>81</v>
      </c>
      <c r="D42" s="18" t="n">
        <v>1</v>
      </c>
    </row>
    <row r="43" customFormat="false" ht="15" hidden="false" customHeight="false" outlineLevel="0" collapsed="false">
      <c r="B43" s="22" t="s">
        <v>82</v>
      </c>
      <c r="C43" s="9" t="s">
        <v>83</v>
      </c>
      <c r="D43" s="18" t="n">
        <v>1</v>
      </c>
    </row>
    <row r="44" customFormat="false" ht="15" hidden="false" customHeight="false" outlineLevel="0" collapsed="false">
      <c r="B44" s="22" t="s">
        <v>84</v>
      </c>
      <c r="C44" s="9" t="s">
        <v>85</v>
      </c>
      <c r="D44" s="18" t="n">
        <v>1</v>
      </c>
    </row>
    <row r="45" customFormat="false" ht="15" hidden="false" customHeight="false" outlineLevel="0" collapsed="false">
      <c r="B45" s="22" t="s">
        <v>86</v>
      </c>
      <c r="C45" s="9" t="s">
        <v>87</v>
      </c>
      <c r="D45" s="18" t="n">
        <v>1</v>
      </c>
    </row>
    <row r="46" customFormat="false" ht="15" hidden="false" customHeight="false" outlineLevel="0" collapsed="false">
      <c r="B46" s="22" t="s">
        <v>88</v>
      </c>
      <c r="C46" s="9" t="s">
        <v>89</v>
      </c>
      <c r="D46" s="18" t="n">
        <v>1</v>
      </c>
    </row>
    <row r="47" customFormat="false" ht="15" hidden="false" customHeight="false" outlineLevel="0" collapsed="false">
      <c r="B47" s="22" t="s">
        <v>90</v>
      </c>
      <c r="C47" s="9" t="s">
        <v>91</v>
      </c>
      <c r="D47" s="18" t="n">
        <v>1</v>
      </c>
    </row>
    <row r="48" customFormat="false" ht="15" hidden="false" customHeight="false" outlineLevel="0" collapsed="false">
      <c r="B48" s="22" t="s">
        <v>92</v>
      </c>
      <c r="C48" s="9" t="s">
        <v>93</v>
      </c>
      <c r="D48" s="18" t="n">
        <v>1</v>
      </c>
    </row>
    <row r="49" customFormat="false" ht="15" hidden="false" customHeight="false" outlineLevel="0" collapsed="false">
      <c r="B49" s="23" t="s">
        <v>94</v>
      </c>
      <c r="C49" s="9" t="s">
        <v>95</v>
      </c>
      <c r="D49" s="18" t="n">
        <v>1</v>
      </c>
    </row>
    <row r="50" customFormat="false" ht="15" hidden="false" customHeight="false" outlineLevel="0" collapsed="false">
      <c r="B50" s="23" t="s">
        <v>96</v>
      </c>
      <c r="C50" s="9" t="s">
        <v>97</v>
      </c>
      <c r="D50" s="18" t="n">
        <v>1</v>
      </c>
    </row>
  </sheetData>
  <mergeCells count="8">
    <mergeCell ref="B2:E2"/>
    <mergeCell ref="B4:E4"/>
    <mergeCell ref="B23:E23"/>
    <mergeCell ref="D25:E25"/>
    <mergeCell ref="D26:E26"/>
    <mergeCell ref="D27:E27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6" min="4" style="1" width="32"/>
  </cols>
  <sheetData>
    <row r="2" customFormat="false" ht="27.75" hidden="false" customHeight="true" outlineLevel="0" collapsed="false">
      <c r="B2" s="6" t="s">
        <v>98</v>
      </c>
      <c r="C2" s="6"/>
      <c r="D2" s="6"/>
      <c r="E2" s="6"/>
      <c r="F2" s="6"/>
    </row>
    <row r="4" customFormat="false" ht="15" hidden="false" customHeight="false" outlineLevel="0" collapsed="false">
      <c r="B4" s="7" t="s">
        <v>99</v>
      </c>
      <c r="C4" s="7"/>
      <c r="D4" s="7"/>
      <c r="E4" s="7"/>
      <c r="F4" s="7"/>
    </row>
    <row r="5" customFormat="false" ht="27.75" hidden="false" customHeight="true" outlineLevel="0" collapsed="false">
      <c r="B5" s="24" t="s">
        <v>100</v>
      </c>
      <c r="C5" s="24" t="s">
        <v>101</v>
      </c>
      <c r="D5" s="24" t="s">
        <v>102</v>
      </c>
      <c r="E5" s="24" t="s">
        <v>103</v>
      </c>
      <c r="F5" s="24" t="s">
        <v>104</v>
      </c>
    </row>
    <row r="6" customFormat="false" ht="49.5" hidden="false" customHeight="true" outlineLevel="0" collapsed="false">
      <c r="B6" s="25" t="s">
        <v>31</v>
      </c>
      <c r="C6" s="26" t="s">
        <v>105</v>
      </c>
      <c r="D6" s="25" t="s">
        <v>106</v>
      </c>
      <c r="E6" s="25" t="s">
        <v>107</v>
      </c>
      <c r="F6" s="25" t="s">
        <v>108</v>
      </c>
    </row>
    <row r="7" customFormat="false" ht="49.5" hidden="false" customHeight="true" outlineLevel="0" collapsed="false">
      <c r="B7" s="9" t="s">
        <v>32</v>
      </c>
      <c r="C7" s="27" t="s">
        <v>109</v>
      </c>
      <c r="D7" s="9" t="s">
        <v>110</v>
      </c>
      <c r="E7" s="9" t="s">
        <v>111</v>
      </c>
      <c r="F7" s="9" t="s">
        <v>112</v>
      </c>
    </row>
    <row r="8" customFormat="false" ht="49.5" hidden="false" customHeight="true" outlineLevel="0" collapsed="false">
      <c r="B8" s="25" t="s">
        <v>33</v>
      </c>
      <c r="C8" s="26" t="s">
        <v>109</v>
      </c>
      <c r="D8" s="25" t="s">
        <v>113</v>
      </c>
      <c r="E8" s="25" t="s">
        <v>114</v>
      </c>
      <c r="F8" s="25" t="s">
        <v>115</v>
      </c>
    </row>
    <row r="9" customFormat="false" ht="49.5" hidden="false" customHeight="true" outlineLevel="0" collapsed="false">
      <c r="B9" s="9" t="s">
        <v>34</v>
      </c>
      <c r="C9" s="27" t="s">
        <v>116</v>
      </c>
      <c r="D9" s="9" t="s">
        <v>117</v>
      </c>
      <c r="E9" s="9" t="s">
        <v>118</v>
      </c>
      <c r="F9" s="9" t="s">
        <v>119</v>
      </c>
    </row>
    <row r="10" customFormat="false" ht="49.5" hidden="false" customHeight="true" outlineLevel="0" collapsed="false">
      <c r="B10" s="25" t="s">
        <v>35</v>
      </c>
      <c r="C10" s="26" t="s">
        <v>109</v>
      </c>
      <c r="D10" s="25" t="s">
        <v>120</v>
      </c>
      <c r="E10" s="25" t="s">
        <v>121</v>
      </c>
      <c r="F10" s="25" t="s">
        <v>122</v>
      </c>
    </row>
    <row r="11" customFormat="false" ht="49.5" hidden="false" customHeight="true" outlineLevel="0" collapsed="false">
      <c r="B11" s="9" t="s">
        <v>36</v>
      </c>
      <c r="C11" s="27" t="s">
        <v>116</v>
      </c>
      <c r="D11" s="9" t="s">
        <v>123</v>
      </c>
      <c r="E11" s="9" t="s">
        <v>124</v>
      </c>
      <c r="F11" s="9" t="s">
        <v>125</v>
      </c>
    </row>
    <row r="13" customFormat="false" ht="15" hidden="false" customHeight="false" outlineLevel="0" collapsed="false">
      <c r="B13" s="7" t="s">
        <v>126</v>
      </c>
      <c r="C13" s="7"/>
      <c r="D13" s="7"/>
      <c r="E13" s="7"/>
      <c r="F13" s="7"/>
    </row>
    <row r="14" customFormat="false" ht="27.75" hidden="false" customHeight="true" outlineLevel="0" collapsed="false">
      <c r="B14" s="24" t="s">
        <v>100</v>
      </c>
      <c r="C14" s="24" t="s">
        <v>101</v>
      </c>
      <c r="D14" s="24" t="s">
        <v>102</v>
      </c>
      <c r="E14" s="24" t="s">
        <v>103</v>
      </c>
      <c r="F14" s="24" t="s">
        <v>104</v>
      </c>
    </row>
    <row r="15" customFormat="false" ht="49.5" hidden="false" customHeight="true" outlineLevel="0" collapsed="false">
      <c r="B15" s="9" t="s">
        <v>127</v>
      </c>
      <c r="C15" s="27" t="s">
        <v>109</v>
      </c>
      <c r="D15" s="9" t="s">
        <v>128</v>
      </c>
      <c r="E15" s="9" t="s">
        <v>129</v>
      </c>
      <c r="F15" s="9" t="s">
        <v>130</v>
      </c>
    </row>
    <row r="16" customFormat="false" ht="49.5" hidden="false" customHeight="true" outlineLevel="0" collapsed="false">
      <c r="B16" s="25" t="s">
        <v>40</v>
      </c>
      <c r="C16" s="26" t="s">
        <v>109</v>
      </c>
      <c r="D16" s="25" t="s">
        <v>131</v>
      </c>
      <c r="E16" s="25" t="s">
        <v>132</v>
      </c>
      <c r="F16" s="25" t="s">
        <v>133</v>
      </c>
    </row>
    <row r="17" customFormat="false" ht="49.5" hidden="false" customHeight="true" outlineLevel="0" collapsed="false">
      <c r="B17" s="9" t="s">
        <v>41</v>
      </c>
      <c r="C17" s="27" t="s">
        <v>134</v>
      </c>
      <c r="D17" s="9" t="s">
        <v>135</v>
      </c>
      <c r="E17" s="9" t="s">
        <v>136</v>
      </c>
      <c r="F17" s="9" t="s">
        <v>137</v>
      </c>
    </row>
    <row r="18" customFormat="false" ht="49.5" hidden="false" customHeight="true" outlineLevel="0" collapsed="false">
      <c r="B18" s="25" t="s">
        <v>42</v>
      </c>
      <c r="C18" s="26" t="s">
        <v>138</v>
      </c>
      <c r="D18" s="25" t="s">
        <v>139</v>
      </c>
      <c r="E18" s="25" t="s">
        <v>140</v>
      </c>
      <c r="F18" s="25" t="s">
        <v>141</v>
      </c>
    </row>
    <row r="19" customFormat="false" ht="49.5" hidden="false" customHeight="true" outlineLevel="0" collapsed="false">
      <c r="B19" s="9" t="s">
        <v>142</v>
      </c>
      <c r="C19" s="27" t="s">
        <v>138</v>
      </c>
      <c r="D19" s="9" t="s">
        <v>143</v>
      </c>
      <c r="E19" s="9" t="s">
        <v>144</v>
      </c>
      <c r="F19" s="9" t="s">
        <v>145</v>
      </c>
    </row>
  </sheetData>
  <mergeCells count="3">
    <mergeCell ref="B2:F2"/>
    <mergeCell ref="B4:F4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E12" activeCellId="0" sqref="E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2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7" min="6" style="1" width="8"/>
    <col collapsed="false" customWidth="true" hidden="false" outlineLevel="0" max="9" min="8" style="1" width="7"/>
    <col collapsed="false" customWidth="true" hidden="false" outlineLevel="0" max="10" min="10" style="1" width="8"/>
    <col collapsed="false" customWidth="true" hidden="false" outlineLevel="0" max="13" min="11" style="1" width="7"/>
    <col collapsed="false" customWidth="true" hidden="false" outlineLevel="0" max="15" min="14" style="1" width="8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9" min="18" style="1" width="9"/>
    <col collapsed="false" customWidth="true" hidden="false" outlineLevel="0" max="21" min="20" style="1" width="11"/>
    <col collapsed="false" customWidth="true" hidden="false" outlineLevel="0" max="22" min="22" style="1" width="13"/>
  </cols>
  <sheetData>
    <row r="1" customFormat="false" ht="27.75" hidden="false" customHeight="true" outlineLevel="0" collapsed="false">
      <c r="A1" s="28" t="s">
        <v>146</v>
      </c>
    </row>
    <row r="2" customFormat="false" ht="18" hidden="false" customHeight="true" outlineLevel="0" collapsed="false">
      <c r="A2" s="29" t="s">
        <v>147</v>
      </c>
    </row>
    <row r="4" customFormat="false" ht="31.5" hidden="false" customHeight="true" outlineLevel="0" collapsed="false">
      <c r="A4" s="24" t="s">
        <v>148</v>
      </c>
      <c r="B4" s="24" t="s">
        <v>149</v>
      </c>
      <c r="C4" s="24" t="s">
        <v>150</v>
      </c>
      <c r="D4" s="24" t="s">
        <v>151</v>
      </c>
      <c r="E4" s="24" t="s">
        <v>152</v>
      </c>
      <c r="F4" s="24" t="s">
        <v>32</v>
      </c>
      <c r="G4" s="24" t="s">
        <v>153</v>
      </c>
      <c r="H4" s="24" t="s">
        <v>154</v>
      </c>
      <c r="I4" s="24" t="s">
        <v>155</v>
      </c>
      <c r="J4" s="24" t="s">
        <v>36</v>
      </c>
      <c r="K4" s="24" t="s">
        <v>156</v>
      </c>
      <c r="L4" s="24" t="s">
        <v>157</v>
      </c>
      <c r="M4" s="24" t="s">
        <v>158</v>
      </c>
      <c r="N4" s="24" t="s">
        <v>159</v>
      </c>
      <c r="O4" s="24" t="s">
        <v>160</v>
      </c>
      <c r="P4" s="24" t="s">
        <v>161</v>
      </c>
      <c r="Q4" s="24" t="s">
        <v>162</v>
      </c>
      <c r="R4" s="24" t="s">
        <v>59</v>
      </c>
      <c r="S4" s="24" t="s">
        <v>163</v>
      </c>
      <c r="T4" s="24" t="s">
        <v>164</v>
      </c>
      <c r="U4" s="24" t="s">
        <v>165</v>
      </c>
      <c r="V4" s="24" t="s">
        <v>166</v>
      </c>
    </row>
    <row r="5" customFormat="false" ht="27.75" hidden="false" customHeight="true" outlineLevel="0" collapsed="false">
      <c r="A5" s="9" t="s">
        <v>167</v>
      </c>
      <c r="B5" s="9" t="s">
        <v>168</v>
      </c>
      <c r="C5" s="9" t="s">
        <v>169</v>
      </c>
      <c r="D5" s="30" t="s">
        <v>84</v>
      </c>
      <c r="E5" s="30" t="n">
        <v>5</v>
      </c>
      <c r="F5" s="30" t="n">
        <v>5</v>
      </c>
      <c r="G5" s="30" t="n">
        <v>2</v>
      </c>
      <c r="H5" s="30" t="n">
        <v>4</v>
      </c>
      <c r="I5" s="30" t="n">
        <v>1</v>
      </c>
      <c r="J5" s="30" t="n">
        <v>5</v>
      </c>
      <c r="K5" s="30" t="n">
        <v>3</v>
      </c>
      <c r="L5" s="30" t="n">
        <v>2</v>
      </c>
      <c r="M5" s="30" t="n">
        <v>2</v>
      </c>
      <c r="N5" s="30" t="n">
        <v>4</v>
      </c>
      <c r="O5" s="30" t="n">
        <v>4</v>
      </c>
      <c r="P5" s="30" t="s">
        <v>51</v>
      </c>
      <c r="Q5" s="31" t="n">
        <f aca="false">E5*0.35+F5*0.15+G5*0.15+H5*0.1+I5*0.15+J5*0.1</f>
        <v>3.85</v>
      </c>
      <c r="R5" s="32" t="n">
        <f aca="false">VLOOKUP(D5,Configuração!$B$32:$D$50,3,FALSE())</f>
        <v>1</v>
      </c>
      <c r="S5" s="32" t="n">
        <f aca="false">IF(P5="Baixa",1.5,1)</f>
        <v>1</v>
      </c>
      <c r="T5" s="33" t="n">
        <f aca="false">Q5*R5/S5</f>
        <v>3.85</v>
      </c>
      <c r="U5" s="33" t="n">
        <f aca="false">K5*0.15+L5*0.15+M5*0.2+N5*0.25+O5*0.25</f>
        <v>3.15</v>
      </c>
      <c r="V5" s="34" t="str">
        <f aca="false">IF(AND(T5&gt;=3,U5&lt;3),"Quick Win",IF(AND(T5&gt;=3,U5&gt;=3),"Big Bet",IF(AND(T5&lt;3,U5&lt;3),"Fill In","Money Pit")))</f>
        <v>Big Bet</v>
      </c>
    </row>
    <row r="6" customFormat="false" ht="27.75" hidden="false" customHeight="true" outlineLevel="0" collapsed="false">
      <c r="A6" s="25" t="s">
        <v>170</v>
      </c>
      <c r="B6" s="25" t="s">
        <v>168</v>
      </c>
      <c r="C6" s="25" t="s">
        <v>169</v>
      </c>
      <c r="D6" s="30" t="s">
        <v>94</v>
      </c>
      <c r="E6" s="30" t="n">
        <v>3</v>
      </c>
      <c r="F6" s="30" t="n">
        <v>2</v>
      </c>
      <c r="G6" s="30" t="n">
        <v>2</v>
      </c>
      <c r="H6" s="30" t="n">
        <v>4</v>
      </c>
      <c r="I6" s="30" t="n">
        <v>1</v>
      </c>
      <c r="J6" s="30" t="n">
        <v>2</v>
      </c>
      <c r="K6" s="30" t="n">
        <v>3</v>
      </c>
      <c r="L6" s="30" t="n">
        <v>2</v>
      </c>
      <c r="M6" s="30" t="n">
        <v>2</v>
      </c>
      <c r="N6" s="30" t="n">
        <v>4</v>
      </c>
      <c r="O6" s="30" t="n">
        <v>2</v>
      </c>
      <c r="P6" s="30" t="s">
        <v>51</v>
      </c>
      <c r="Q6" s="35" t="n">
        <f aca="false">E6*0.35+F6*0.15+G6*0.15+H6*0.1+I6*0.15+J6*0.1</f>
        <v>2.4</v>
      </c>
      <c r="R6" s="36" t="n">
        <f aca="false">VLOOKUP(D6,Configuração!$B$32:$D$50,3,FALSE())</f>
        <v>1</v>
      </c>
      <c r="S6" s="36" t="n">
        <f aca="false">IF(P6="Baixa",1.5,1)</f>
        <v>1</v>
      </c>
      <c r="T6" s="37" t="n">
        <f aca="false">Q6*R6/S6</f>
        <v>2.4</v>
      </c>
      <c r="U6" s="37" t="n">
        <f aca="false">K6*0.15+L6*0.15+M6*0.2+N6*0.25+O6*0.25</f>
        <v>2.65</v>
      </c>
      <c r="V6" s="38" t="str">
        <f aca="false">IF(AND(T6&gt;=3,U6&lt;3),"Quick Win",IF(AND(T6&gt;=3,U6&gt;=3),"Big Bet",IF(AND(T6&lt;3,U6&lt;3),"Fill In","Money Pit")))</f>
        <v>Fill In</v>
      </c>
    </row>
    <row r="7" customFormat="false" ht="27.75" hidden="false" customHeight="true" outlineLevel="0" collapsed="false">
      <c r="A7" s="9" t="s">
        <v>171</v>
      </c>
      <c r="B7" s="9" t="s">
        <v>168</v>
      </c>
      <c r="C7" s="9" t="s">
        <v>169</v>
      </c>
      <c r="D7" s="30" t="s">
        <v>90</v>
      </c>
      <c r="E7" s="30" t="n">
        <v>3</v>
      </c>
      <c r="F7" s="30" t="n">
        <v>2</v>
      </c>
      <c r="G7" s="30" t="n">
        <v>2</v>
      </c>
      <c r="H7" s="30" t="n">
        <v>3</v>
      </c>
      <c r="I7" s="30" t="n">
        <v>1</v>
      </c>
      <c r="J7" s="30" t="n">
        <v>2</v>
      </c>
      <c r="K7" s="30" t="n">
        <v>3</v>
      </c>
      <c r="L7" s="30" t="n">
        <v>2</v>
      </c>
      <c r="M7" s="30" t="n">
        <v>2</v>
      </c>
      <c r="N7" s="30" t="n">
        <v>3</v>
      </c>
      <c r="O7" s="30" t="n">
        <v>2</v>
      </c>
      <c r="P7" s="30" t="s">
        <v>51</v>
      </c>
      <c r="Q7" s="31" t="n">
        <f aca="false">E7*0.35+F7*0.15+G7*0.15+H7*0.1+I7*0.15+J7*0.1</f>
        <v>2.3</v>
      </c>
      <c r="R7" s="32" t="n">
        <f aca="false">VLOOKUP(D7,Configuração!$B$32:$D$50,3,FALSE())</f>
        <v>1</v>
      </c>
      <c r="S7" s="32" t="n">
        <f aca="false">IF(P7="Baixa",1.5,1)</f>
        <v>1</v>
      </c>
      <c r="T7" s="33" t="n">
        <f aca="false">Q7*R7/S7</f>
        <v>2.3</v>
      </c>
      <c r="U7" s="33" t="n">
        <f aca="false">K7*0.15+L7*0.15+M7*0.2+N7*0.25+O7*0.25</f>
        <v>2.4</v>
      </c>
      <c r="V7" s="34" t="str">
        <f aca="false">IF(AND(T7&gt;=3,U7&lt;3),"Quick Win",IF(AND(T7&gt;=3,U7&gt;=3),"Big Bet",IF(AND(T7&lt;3,U7&lt;3),"Fill In","Money Pit")))</f>
        <v>Fill In</v>
      </c>
    </row>
    <row r="8" customFormat="false" ht="27.75" hidden="false" customHeight="true" outlineLevel="0" collapsed="false">
      <c r="A8" s="25" t="s">
        <v>172</v>
      </c>
      <c r="B8" s="25" t="s">
        <v>168</v>
      </c>
      <c r="C8" s="25" t="s">
        <v>169</v>
      </c>
      <c r="D8" s="30" t="s">
        <v>90</v>
      </c>
      <c r="E8" s="30" t="n">
        <v>3</v>
      </c>
      <c r="F8" s="30" t="n">
        <v>2</v>
      </c>
      <c r="G8" s="30" t="n">
        <v>2</v>
      </c>
      <c r="H8" s="30" t="n">
        <v>3</v>
      </c>
      <c r="I8" s="30" t="n">
        <v>1</v>
      </c>
      <c r="J8" s="30" t="n">
        <v>2</v>
      </c>
      <c r="K8" s="30" t="n">
        <v>3</v>
      </c>
      <c r="L8" s="30" t="n">
        <v>2</v>
      </c>
      <c r="M8" s="30" t="n">
        <v>2</v>
      </c>
      <c r="N8" s="30" t="n">
        <v>3</v>
      </c>
      <c r="O8" s="30" t="n">
        <v>2</v>
      </c>
      <c r="P8" s="30" t="s">
        <v>51</v>
      </c>
      <c r="Q8" s="35" t="n">
        <f aca="false">E8*0.35+F8*0.15+G8*0.15+H8*0.1+I8*0.15+J8*0.1</f>
        <v>2.3</v>
      </c>
      <c r="R8" s="36" t="n">
        <f aca="false">VLOOKUP(D8,Configuração!$B$32:$D$50,3,FALSE())</f>
        <v>1</v>
      </c>
      <c r="S8" s="36" t="n">
        <f aca="false">IF(P8="Baixa",1.5,1)</f>
        <v>1</v>
      </c>
      <c r="T8" s="37" t="n">
        <f aca="false">Q8*R8/S8</f>
        <v>2.3</v>
      </c>
      <c r="U8" s="37" t="n">
        <f aca="false">K8*0.15+L8*0.15+M8*0.2+N8*0.25+O8*0.25</f>
        <v>2.4</v>
      </c>
      <c r="V8" s="38" t="str">
        <f aca="false">IF(AND(T8&gt;=3,U8&lt;3),"Quick Win",IF(AND(T8&gt;=3,U8&gt;=3),"Big Bet",IF(AND(T8&lt;3,U8&lt;3),"Fill In","Money Pit")))</f>
        <v>Fill In</v>
      </c>
    </row>
    <row r="9" customFormat="false" ht="27.75" hidden="false" customHeight="true" outlineLevel="0" collapsed="false">
      <c r="A9" s="9" t="s">
        <v>173</v>
      </c>
      <c r="B9" s="9" t="s">
        <v>168</v>
      </c>
      <c r="C9" s="9" t="s">
        <v>169</v>
      </c>
      <c r="D9" s="30" t="s">
        <v>84</v>
      </c>
      <c r="E9" s="30" t="n">
        <v>5</v>
      </c>
      <c r="F9" s="30" t="n">
        <v>2</v>
      </c>
      <c r="G9" s="30" t="n">
        <v>2</v>
      </c>
      <c r="H9" s="30" t="n">
        <v>3</v>
      </c>
      <c r="I9" s="30" t="n">
        <v>1</v>
      </c>
      <c r="J9" s="30" t="n">
        <v>2</v>
      </c>
      <c r="K9" s="30" t="n">
        <v>3</v>
      </c>
      <c r="L9" s="30" t="n">
        <v>2</v>
      </c>
      <c r="M9" s="30" t="n">
        <v>2</v>
      </c>
      <c r="N9" s="30" t="n">
        <v>3</v>
      </c>
      <c r="O9" s="30" t="n">
        <v>2</v>
      </c>
      <c r="P9" s="30" t="s">
        <v>51</v>
      </c>
      <c r="Q9" s="31" t="n">
        <f aca="false">E9*0.35+F9*0.15+G9*0.15+H9*0.1+I9*0.15+J9*0.1</f>
        <v>3</v>
      </c>
      <c r="R9" s="32" t="n">
        <f aca="false">VLOOKUP(D9,Configuração!$B$32:$D$50,3,FALSE())</f>
        <v>1</v>
      </c>
      <c r="S9" s="32" t="n">
        <f aca="false">IF(P9="Baixa",1.5,1)</f>
        <v>1</v>
      </c>
      <c r="T9" s="33" t="n">
        <f aca="false">Q9*R9/S9</f>
        <v>3</v>
      </c>
      <c r="U9" s="33" t="n">
        <f aca="false">K9*0.15+L9*0.15+M9*0.2+N9*0.25+O9*0.25</f>
        <v>2.4</v>
      </c>
      <c r="V9" s="34" t="str">
        <f aca="false">IF(AND(T9&gt;=3,U9&lt;3),"Quick Win",IF(AND(T9&gt;=3,U9&gt;=3),"Big Bet",IF(AND(T9&lt;3,U9&lt;3),"Fill In","Money Pit")))</f>
        <v>Quick Win</v>
      </c>
    </row>
    <row r="10" customFormat="false" ht="27.75" hidden="false" customHeight="true" outlineLevel="0" collapsed="false">
      <c r="A10" s="25" t="s">
        <v>174</v>
      </c>
      <c r="B10" s="25" t="s">
        <v>175</v>
      </c>
      <c r="C10" s="25" t="s">
        <v>176</v>
      </c>
      <c r="D10" s="30" t="s">
        <v>94</v>
      </c>
      <c r="E10" s="30" t="n">
        <v>3</v>
      </c>
      <c r="F10" s="30" t="n">
        <v>2</v>
      </c>
      <c r="G10" s="30" t="n">
        <v>2</v>
      </c>
      <c r="H10" s="30" t="n">
        <v>3</v>
      </c>
      <c r="I10" s="30" t="n">
        <v>1</v>
      </c>
      <c r="J10" s="30" t="n">
        <v>2</v>
      </c>
      <c r="K10" s="30" t="n">
        <v>3</v>
      </c>
      <c r="L10" s="30" t="n">
        <v>2</v>
      </c>
      <c r="M10" s="30" t="n">
        <v>2</v>
      </c>
      <c r="N10" s="30" t="n">
        <v>3</v>
      </c>
      <c r="O10" s="30" t="n">
        <v>2</v>
      </c>
      <c r="P10" s="30" t="s">
        <v>51</v>
      </c>
      <c r="Q10" s="35" t="n">
        <f aca="false">E10*0.35+F10*0.15+G10*0.15+H10*0.1+I10*0.15+J10*0.1</f>
        <v>2.3</v>
      </c>
      <c r="R10" s="36" t="n">
        <f aca="false">VLOOKUP(D10,Configuração!$B$32:$D$50,3,FALSE())</f>
        <v>1</v>
      </c>
      <c r="S10" s="36" t="n">
        <f aca="false">IF(P10="Baixa",1.5,1)</f>
        <v>1</v>
      </c>
      <c r="T10" s="37" t="n">
        <f aca="false">Q10*R10/S10</f>
        <v>2.3</v>
      </c>
      <c r="U10" s="37" t="n">
        <f aca="false">K10*0.15+L10*0.15+M10*0.2+N10*0.25+O10*0.25</f>
        <v>2.4</v>
      </c>
      <c r="V10" s="38" t="str">
        <f aca="false">IF(AND(T10&gt;=3,U10&lt;3),"Quick Win",IF(AND(T10&gt;=3,U10&gt;=3),"Big Bet",IF(AND(T10&lt;3,U10&lt;3),"Fill In","Money Pit")))</f>
        <v>Fill In</v>
      </c>
    </row>
    <row r="11" customFormat="false" ht="27.75" hidden="false" customHeight="true" outlineLevel="0" collapsed="false">
      <c r="A11" s="9" t="s">
        <v>177</v>
      </c>
      <c r="B11" s="9" t="s">
        <v>178</v>
      </c>
      <c r="C11" s="9" t="s">
        <v>179</v>
      </c>
      <c r="D11" s="30" t="s">
        <v>80</v>
      </c>
      <c r="E11" s="30" t="n">
        <v>5</v>
      </c>
      <c r="F11" s="30" t="n">
        <v>2</v>
      </c>
      <c r="G11" s="30" t="n">
        <v>2</v>
      </c>
      <c r="H11" s="30" t="n">
        <v>3</v>
      </c>
      <c r="I11" s="30" t="n">
        <v>1</v>
      </c>
      <c r="J11" s="30" t="n">
        <v>5</v>
      </c>
      <c r="K11" s="30" t="n">
        <v>3</v>
      </c>
      <c r="L11" s="30" t="n">
        <v>2</v>
      </c>
      <c r="M11" s="30" t="n">
        <v>2</v>
      </c>
      <c r="N11" s="30" t="n">
        <v>3</v>
      </c>
      <c r="O11" s="30" t="n">
        <v>2</v>
      </c>
      <c r="P11" s="30" t="s">
        <v>51</v>
      </c>
      <c r="Q11" s="31" t="n">
        <f aca="false">E11*0.35+F11*0.15+G11*0.15+H11*0.1+I11*0.15+J11*0.1</f>
        <v>3.3</v>
      </c>
      <c r="R11" s="32" t="n">
        <f aca="false">VLOOKUP(D11,Configuração!$B$32:$D$50,3,FALSE())</f>
        <v>1</v>
      </c>
      <c r="S11" s="32" t="n">
        <f aca="false">IF(P11="Baixa",1.5,1)</f>
        <v>1</v>
      </c>
      <c r="T11" s="33" t="n">
        <f aca="false">Q11*R11/S11</f>
        <v>3.3</v>
      </c>
      <c r="U11" s="33" t="n">
        <f aca="false">K11*0.15+L11*0.15+M11*0.2+N11*0.25+O11*0.25</f>
        <v>2.4</v>
      </c>
      <c r="V11" s="34" t="str">
        <f aca="false">IF(AND(T11&gt;=3,U11&lt;3),"Quick Win",IF(AND(T11&gt;=3,U11&gt;=3),"Big Bet",IF(AND(T11&lt;3,U11&lt;3),"Fill In","Money Pit")))</f>
        <v>Quick Win</v>
      </c>
    </row>
    <row r="12" customFormat="false" ht="27.75" hidden="false" customHeight="true" outlineLevel="0" collapsed="false">
      <c r="A12" s="25" t="s">
        <v>180</v>
      </c>
      <c r="B12" s="25" t="s">
        <v>178</v>
      </c>
      <c r="C12" s="25" t="s">
        <v>181</v>
      </c>
      <c r="D12" s="30" t="s">
        <v>88</v>
      </c>
      <c r="E12" s="30" t="n">
        <v>4</v>
      </c>
      <c r="F12" s="30" t="n">
        <v>2</v>
      </c>
      <c r="G12" s="30" t="n">
        <v>2</v>
      </c>
      <c r="H12" s="30" t="n">
        <v>3</v>
      </c>
      <c r="I12" s="30" t="n">
        <v>1</v>
      </c>
      <c r="J12" s="30" t="n">
        <v>2</v>
      </c>
      <c r="K12" s="30" t="n">
        <v>3</v>
      </c>
      <c r="L12" s="30" t="n">
        <v>2</v>
      </c>
      <c r="M12" s="30" t="n">
        <v>2</v>
      </c>
      <c r="N12" s="30" t="n">
        <v>3</v>
      </c>
      <c r="O12" s="30" t="n">
        <v>2</v>
      </c>
      <c r="P12" s="30" t="s">
        <v>51</v>
      </c>
      <c r="Q12" s="35" t="n">
        <f aca="false">E12*0.35+F12*0.15+G12*0.15+H12*0.1+I12*0.15+J12*0.1</f>
        <v>2.65</v>
      </c>
      <c r="R12" s="36" t="n">
        <f aca="false">VLOOKUP(D12,Configuração!$B$32:$D$50,3,FALSE())</f>
        <v>1</v>
      </c>
      <c r="S12" s="36" t="n">
        <f aca="false">IF(P12="Baixa",1.5,1)</f>
        <v>1</v>
      </c>
      <c r="T12" s="37" t="n">
        <f aca="false">Q12*R12/S12</f>
        <v>2.65</v>
      </c>
      <c r="U12" s="37" t="n">
        <f aca="false">K12*0.15+L12*0.15+M12*0.2+N12*0.25+O12*0.25</f>
        <v>2.4</v>
      </c>
      <c r="V12" s="38" t="str">
        <f aca="false">IF(AND(T12&gt;=3,U12&lt;3),"Quick Win",IF(AND(T12&gt;=3,U12&gt;=3),"Big Bet",IF(AND(T12&lt;3,U12&lt;3),"Fill In","Money Pit")))</f>
        <v>Fill In</v>
      </c>
    </row>
    <row r="13" customFormat="false" ht="27.75" hidden="false" customHeight="true" outlineLevel="0" collapsed="false">
      <c r="A13" s="9" t="s">
        <v>182</v>
      </c>
      <c r="B13" s="9" t="s">
        <v>178</v>
      </c>
      <c r="C13" s="9" t="s">
        <v>181</v>
      </c>
      <c r="D13" s="30" t="s">
        <v>80</v>
      </c>
      <c r="E13" s="30" t="n">
        <v>5</v>
      </c>
      <c r="F13" s="30" t="n">
        <v>4</v>
      </c>
      <c r="G13" s="30" t="n">
        <v>2</v>
      </c>
      <c r="H13" s="30" t="n">
        <v>4</v>
      </c>
      <c r="I13" s="30" t="n">
        <v>1</v>
      </c>
      <c r="J13" s="30" t="n">
        <v>5</v>
      </c>
      <c r="K13" s="30" t="n">
        <v>3</v>
      </c>
      <c r="L13" s="30" t="n">
        <v>2</v>
      </c>
      <c r="M13" s="30" t="n">
        <v>2</v>
      </c>
      <c r="N13" s="30" t="n">
        <v>3</v>
      </c>
      <c r="O13" s="30" t="n">
        <v>4</v>
      </c>
      <c r="P13" s="30" t="s">
        <v>51</v>
      </c>
      <c r="Q13" s="31" t="n">
        <f aca="false">E13*0.35+F13*0.15+G13*0.15+H13*0.1+I13*0.15+J13*0.1</f>
        <v>3.7</v>
      </c>
      <c r="R13" s="32" t="n">
        <f aca="false">VLOOKUP(D13,Configuração!$B$32:$D$50,3,FALSE())</f>
        <v>1</v>
      </c>
      <c r="S13" s="32" t="n">
        <f aca="false">IF(P13="Baixa",1.5,1)</f>
        <v>1</v>
      </c>
      <c r="T13" s="33" t="n">
        <f aca="false">Q13*R13/S13</f>
        <v>3.7</v>
      </c>
      <c r="U13" s="33" t="n">
        <f aca="false">K13*0.15+L13*0.15+M13*0.2+N13*0.25+O13*0.25</f>
        <v>2.9</v>
      </c>
      <c r="V13" s="34" t="str">
        <f aca="false">IF(AND(T13&gt;=3,U13&lt;3),"Quick Win",IF(AND(T13&gt;=3,U13&gt;=3),"Big Bet",IF(AND(T13&lt;3,U13&lt;3),"Fill In","Money Pit")))</f>
        <v>Quick Win</v>
      </c>
    </row>
    <row r="14" customFormat="false" ht="27.75" hidden="false" customHeight="true" outlineLevel="0" collapsed="false">
      <c r="A14" s="25" t="s">
        <v>183</v>
      </c>
      <c r="B14" s="25" t="s">
        <v>178</v>
      </c>
      <c r="C14" s="25" t="s">
        <v>184</v>
      </c>
      <c r="D14" s="30" t="s">
        <v>76</v>
      </c>
      <c r="E14" s="30" t="n">
        <v>4</v>
      </c>
      <c r="F14" s="30" t="n">
        <v>4</v>
      </c>
      <c r="G14" s="30" t="n">
        <v>2</v>
      </c>
      <c r="H14" s="30" t="n">
        <v>3</v>
      </c>
      <c r="I14" s="30" t="n">
        <v>1</v>
      </c>
      <c r="J14" s="30" t="n">
        <v>2</v>
      </c>
      <c r="K14" s="30" t="n">
        <v>3</v>
      </c>
      <c r="L14" s="30" t="n">
        <v>2</v>
      </c>
      <c r="M14" s="30" t="n">
        <v>2</v>
      </c>
      <c r="N14" s="30" t="n">
        <v>3</v>
      </c>
      <c r="O14" s="30" t="n">
        <v>2</v>
      </c>
      <c r="P14" s="30" t="s">
        <v>51</v>
      </c>
      <c r="Q14" s="35" t="n">
        <f aca="false">E14*0.35+F14*0.15+G14*0.15+H14*0.1+I14*0.15+J14*0.1</f>
        <v>2.95</v>
      </c>
      <c r="R14" s="36" t="n">
        <f aca="false">VLOOKUP(D14,Configuração!$B$32:$D$50,3,FALSE())</f>
        <v>1</v>
      </c>
      <c r="S14" s="36" t="n">
        <f aca="false">IF(P14="Baixa",1.5,1)</f>
        <v>1</v>
      </c>
      <c r="T14" s="37" t="n">
        <f aca="false">Q14*R14/S14</f>
        <v>2.95</v>
      </c>
      <c r="U14" s="37" t="n">
        <f aca="false">K14*0.15+L14*0.15+M14*0.2+N14*0.25+O14*0.25</f>
        <v>2.4</v>
      </c>
      <c r="V14" s="38" t="str">
        <f aca="false">IF(AND(T14&gt;=3,U14&lt;3),"Quick Win",IF(AND(T14&gt;=3,U14&gt;=3),"Big Bet",IF(AND(T14&lt;3,U14&lt;3),"Fill In","Money Pit")))</f>
        <v>Fill In</v>
      </c>
    </row>
    <row r="15" customFormat="false" ht="27.75" hidden="false" customHeight="true" outlineLevel="0" collapsed="false">
      <c r="A15" s="9" t="s">
        <v>185</v>
      </c>
      <c r="B15" s="9" t="s">
        <v>178</v>
      </c>
      <c r="C15" s="9" t="s">
        <v>179</v>
      </c>
      <c r="D15" s="30" t="s">
        <v>80</v>
      </c>
      <c r="E15" s="30" t="n">
        <v>5</v>
      </c>
      <c r="F15" s="30" t="n">
        <v>2</v>
      </c>
      <c r="G15" s="30" t="n">
        <v>2</v>
      </c>
      <c r="H15" s="30" t="n">
        <v>3</v>
      </c>
      <c r="I15" s="30" t="n">
        <v>3</v>
      </c>
      <c r="J15" s="30" t="n">
        <v>5</v>
      </c>
      <c r="K15" s="30" t="n">
        <v>3</v>
      </c>
      <c r="L15" s="30" t="n">
        <v>2</v>
      </c>
      <c r="M15" s="30" t="n">
        <v>2</v>
      </c>
      <c r="N15" s="30" t="n">
        <v>3</v>
      </c>
      <c r="O15" s="30" t="n">
        <v>4</v>
      </c>
      <c r="P15" s="30" t="s">
        <v>51</v>
      </c>
      <c r="Q15" s="31" t="n">
        <f aca="false">E15*0.35+F15*0.15+G15*0.15+H15*0.1+I15*0.15+J15*0.1</f>
        <v>3.6</v>
      </c>
      <c r="R15" s="32" t="n">
        <f aca="false">VLOOKUP(D15,Configuração!$B$32:$D$50,3,FALSE())</f>
        <v>1</v>
      </c>
      <c r="S15" s="32" t="n">
        <f aca="false">IF(P15="Baixa",1.5,1)</f>
        <v>1</v>
      </c>
      <c r="T15" s="33" t="n">
        <f aca="false">Q15*R15/S15</f>
        <v>3.6</v>
      </c>
      <c r="U15" s="33" t="n">
        <f aca="false">K15*0.15+L15*0.15+M15*0.2+N15*0.25+O15*0.25</f>
        <v>2.9</v>
      </c>
      <c r="V15" s="34" t="str">
        <f aca="false">IF(AND(T15&gt;=3,U15&lt;3),"Quick Win",IF(AND(T15&gt;=3,U15&gt;=3),"Big Bet",IF(AND(T15&lt;3,U15&lt;3),"Fill In","Money Pit")))</f>
        <v>Quick Win</v>
      </c>
    </row>
    <row r="16" customFormat="false" ht="27.75" hidden="false" customHeight="true" outlineLevel="0" collapsed="false">
      <c r="A16" s="25" t="s">
        <v>186</v>
      </c>
      <c r="B16" s="25" t="s">
        <v>178</v>
      </c>
      <c r="C16" s="25" t="s">
        <v>176</v>
      </c>
      <c r="D16" s="30" t="s">
        <v>90</v>
      </c>
      <c r="E16" s="30" t="n">
        <v>3</v>
      </c>
      <c r="F16" s="30" t="n">
        <v>5</v>
      </c>
      <c r="G16" s="30" t="n">
        <v>2</v>
      </c>
      <c r="H16" s="30" t="n">
        <v>3</v>
      </c>
      <c r="I16" s="30" t="n">
        <v>1</v>
      </c>
      <c r="J16" s="30" t="n">
        <v>5</v>
      </c>
      <c r="K16" s="30" t="n">
        <v>3</v>
      </c>
      <c r="L16" s="30" t="n">
        <v>2</v>
      </c>
      <c r="M16" s="30" t="n">
        <v>2</v>
      </c>
      <c r="N16" s="30" t="n">
        <v>3</v>
      </c>
      <c r="O16" s="30" t="n">
        <v>2</v>
      </c>
      <c r="P16" s="30" t="s">
        <v>51</v>
      </c>
      <c r="Q16" s="35" t="n">
        <f aca="false">E16*0.35+F16*0.15+G16*0.15+H16*0.1+I16*0.15+J16*0.1</f>
        <v>3.05</v>
      </c>
      <c r="R16" s="36" t="n">
        <f aca="false">VLOOKUP(D16,Configuração!$B$32:$D$50,3,FALSE())</f>
        <v>1</v>
      </c>
      <c r="S16" s="36" t="n">
        <f aca="false">IF(P16="Baixa",1.5,1)</f>
        <v>1</v>
      </c>
      <c r="T16" s="37" t="n">
        <f aca="false">Q16*R16/S16</f>
        <v>3.05</v>
      </c>
      <c r="U16" s="37" t="n">
        <f aca="false">K16*0.15+L16*0.15+M16*0.2+N16*0.25+O16*0.25</f>
        <v>2.4</v>
      </c>
      <c r="V16" s="38" t="str">
        <f aca="false">IF(AND(T16&gt;=3,U16&lt;3),"Quick Win",IF(AND(T16&gt;=3,U16&gt;=3),"Big Bet",IF(AND(T16&lt;3,U16&lt;3),"Fill In","Money Pit")))</f>
        <v>Quick Win</v>
      </c>
    </row>
    <row r="17" customFormat="false" ht="27.75" hidden="false" customHeight="true" outlineLevel="0" collapsed="false">
      <c r="A17" s="9" t="s">
        <v>187</v>
      </c>
      <c r="B17" s="9" t="s">
        <v>178</v>
      </c>
      <c r="C17" s="9" t="s">
        <v>179</v>
      </c>
      <c r="D17" s="30" t="s">
        <v>80</v>
      </c>
      <c r="E17" s="30" t="n">
        <v>5</v>
      </c>
      <c r="F17" s="30" t="n">
        <v>4</v>
      </c>
      <c r="G17" s="30" t="n">
        <v>5</v>
      </c>
      <c r="H17" s="30" t="n">
        <v>4</v>
      </c>
      <c r="I17" s="30" t="n">
        <v>1</v>
      </c>
      <c r="J17" s="30" t="n">
        <v>4</v>
      </c>
      <c r="K17" s="30" t="n">
        <v>3</v>
      </c>
      <c r="L17" s="30" t="n">
        <v>2</v>
      </c>
      <c r="M17" s="30" t="n">
        <v>2</v>
      </c>
      <c r="N17" s="30" t="n">
        <v>4</v>
      </c>
      <c r="O17" s="30" t="n">
        <v>5</v>
      </c>
      <c r="P17" s="30" t="s">
        <v>51</v>
      </c>
      <c r="Q17" s="31" t="n">
        <f aca="false">E17*0.35+F17*0.15+G17*0.15+H17*0.1+I17*0.15+J17*0.1</f>
        <v>4.05</v>
      </c>
      <c r="R17" s="32" t="n">
        <f aca="false">VLOOKUP(D17,Configuração!$B$32:$D$50,3,FALSE())</f>
        <v>1</v>
      </c>
      <c r="S17" s="32" t="n">
        <f aca="false">IF(P17="Baixa",1.5,1)</f>
        <v>1</v>
      </c>
      <c r="T17" s="33" t="n">
        <f aca="false">Q17*R17/S17</f>
        <v>4.05</v>
      </c>
      <c r="U17" s="33" t="n">
        <f aca="false">K17*0.15+L17*0.15+M17*0.2+N17*0.25+O17*0.25</f>
        <v>3.4</v>
      </c>
      <c r="V17" s="34" t="str">
        <f aca="false">IF(AND(T17&gt;=3,U17&lt;3),"Quick Win",IF(AND(T17&gt;=3,U17&gt;=3),"Big Bet",IF(AND(T17&lt;3,U17&lt;3),"Fill In","Money Pit")))</f>
        <v>Big Bet</v>
      </c>
    </row>
    <row r="18" customFormat="false" ht="27.75" hidden="false" customHeight="true" outlineLevel="0" collapsed="false">
      <c r="A18" s="25" t="s">
        <v>188</v>
      </c>
      <c r="B18" s="25" t="s">
        <v>178</v>
      </c>
      <c r="C18" s="25" t="s">
        <v>181</v>
      </c>
      <c r="D18" s="30" t="s">
        <v>90</v>
      </c>
      <c r="E18" s="30" t="n">
        <v>3</v>
      </c>
      <c r="F18" s="30" t="n">
        <v>2</v>
      </c>
      <c r="G18" s="30" t="n">
        <v>2</v>
      </c>
      <c r="H18" s="30" t="n">
        <v>3</v>
      </c>
      <c r="I18" s="30" t="n">
        <v>1</v>
      </c>
      <c r="J18" s="30" t="n">
        <v>2</v>
      </c>
      <c r="K18" s="30" t="n">
        <v>3</v>
      </c>
      <c r="L18" s="30" t="n">
        <v>2</v>
      </c>
      <c r="M18" s="30" t="n">
        <v>2</v>
      </c>
      <c r="N18" s="30" t="n">
        <v>3</v>
      </c>
      <c r="O18" s="30" t="n">
        <v>2</v>
      </c>
      <c r="P18" s="30" t="s">
        <v>51</v>
      </c>
      <c r="Q18" s="35" t="n">
        <f aca="false">E18*0.35+F18*0.15+G18*0.15+H18*0.1+I18*0.15+J18*0.1</f>
        <v>2.3</v>
      </c>
      <c r="R18" s="36" t="n">
        <f aca="false">VLOOKUP(D18,Configuração!$B$32:$D$50,3,FALSE())</f>
        <v>1</v>
      </c>
      <c r="S18" s="36" t="n">
        <f aca="false">IF(P18="Baixa",1.5,1)</f>
        <v>1</v>
      </c>
      <c r="T18" s="37" t="n">
        <f aca="false">Q18*R18/S18</f>
        <v>2.3</v>
      </c>
      <c r="U18" s="37" t="n">
        <f aca="false">K18*0.15+L18*0.15+M18*0.2+N18*0.25+O18*0.25</f>
        <v>2.4</v>
      </c>
      <c r="V18" s="38" t="str">
        <f aca="false">IF(AND(T18&gt;=3,U18&lt;3),"Quick Win",IF(AND(T18&gt;=3,U18&gt;=3),"Big Bet",IF(AND(T18&lt;3,U18&lt;3),"Fill In","Money Pit")))</f>
        <v>Fill In</v>
      </c>
    </row>
    <row r="19" customFormat="false" ht="27.75" hidden="false" customHeight="true" outlineLevel="0" collapsed="false">
      <c r="A19" s="9" t="s">
        <v>188</v>
      </c>
      <c r="B19" s="9" t="s">
        <v>178</v>
      </c>
      <c r="C19" s="9" t="s">
        <v>181</v>
      </c>
      <c r="D19" s="30" t="s">
        <v>90</v>
      </c>
      <c r="E19" s="30" t="n">
        <v>3</v>
      </c>
      <c r="F19" s="30" t="n">
        <v>2</v>
      </c>
      <c r="G19" s="30" t="n">
        <v>2</v>
      </c>
      <c r="H19" s="30" t="n">
        <v>3</v>
      </c>
      <c r="I19" s="30" t="n">
        <v>1</v>
      </c>
      <c r="J19" s="30" t="n">
        <v>2</v>
      </c>
      <c r="K19" s="30" t="n">
        <v>3</v>
      </c>
      <c r="L19" s="30" t="n">
        <v>2</v>
      </c>
      <c r="M19" s="30" t="n">
        <v>2</v>
      </c>
      <c r="N19" s="30" t="n">
        <v>3</v>
      </c>
      <c r="O19" s="30" t="n">
        <v>2</v>
      </c>
      <c r="P19" s="30" t="s">
        <v>51</v>
      </c>
      <c r="Q19" s="31" t="n">
        <f aca="false">E19*0.35+F19*0.15+G19*0.15+H19*0.1+I19*0.15+J19*0.1</f>
        <v>2.3</v>
      </c>
      <c r="R19" s="32" t="n">
        <f aca="false">VLOOKUP(D19,Configuração!$B$32:$D$50,3,FALSE())</f>
        <v>1</v>
      </c>
      <c r="S19" s="32" t="n">
        <f aca="false">IF(P19="Baixa",1.5,1)</f>
        <v>1</v>
      </c>
      <c r="T19" s="33" t="n">
        <f aca="false">Q19*R19/S19</f>
        <v>2.3</v>
      </c>
      <c r="U19" s="33" t="n">
        <f aca="false">K19*0.15+L19*0.15+M19*0.2+N19*0.25+O19*0.25</f>
        <v>2.4</v>
      </c>
      <c r="V19" s="34" t="str">
        <f aca="false">IF(AND(T19&gt;=3,U19&lt;3),"Quick Win",IF(AND(T19&gt;=3,U19&gt;=3),"Big Bet",IF(AND(T19&lt;3,U19&lt;3),"Fill In","Money Pit")))</f>
        <v>Fill In</v>
      </c>
    </row>
    <row r="20" customFormat="false" ht="27.75" hidden="false" customHeight="true" outlineLevel="0" collapsed="false">
      <c r="A20" s="25" t="s">
        <v>189</v>
      </c>
      <c r="B20" s="25" t="s">
        <v>178</v>
      </c>
      <c r="C20" s="25" t="s">
        <v>181</v>
      </c>
      <c r="D20" s="30" t="s">
        <v>62</v>
      </c>
      <c r="E20" s="30" t="n">
        <v>4</v>
      </c>
      <c r="F20" s="30" t="n">
        <v>2</v>
      </c>
      <c r="G20" s="30" t="n">
        <v>2</v>
      </c>
      <c r="H20" s="30" t="n">
        <v>3</v>
      </c>
      <c r="I20" s="30" t="n">
        <v>1</v>
      </c>
      <c r="J20" s="30" t="n">
        <v>2</v>
      </c>
      <c r="K20" s="30" t="n">
        <v>3</v>
      </c>
      <c r="L20" s="30" t="n">
        <v>2</v>
      </c>
      <c r="M20" s="30" t="n">
        <v>2</v>
      </c>
      <c r="N20" s="30" t="n">
        <v>3</v>
      </c>
      <c r="O20" s="30" t="n">
        <v>2</v>
      </c>
      <c r="P20" s="30" t="s">
        <v>51</v>
      </c>
      <c r="Q20" s="35" t="n">
        <f aca="false">E20*0.35+F20*0.15+G20*0.15+H20*0.1+I20*0.15+J20*0.1</f>
        <v>2.65</v>
      </c>
      <c r="R20" s="36" t="n">
        <f aca="false">VLOOKUP(D20,Configuração!$B$32:$D$50,3,FALSE())</f>
        <v>1</v>
      </c>
      <c r="S20" s="36" t="n">
        <f aca="false">IF(P20="Baixa",1.5,1)</f>
        <v>1</v>
      </c>
      <c r="T20" s="37" t="n">
        <f aca="false">Q20*R20/S20</f>
        <v>2.65</v>
      </c>
      <c r="U20" s="37" t="n">
        <f aca="false">K20*0.15+L20*0.15+M20*0.2+N20*0.25+O20*0.25</f>
        <v>2.4</v>
      </c>
      <c r="V20" s="38" t="str">
        <f aca="false">IF(AND(T20&gt;=3,U20&lt;3),"Quick Win",IF(AND(T20&gt;=3,U20&gt;=3),"Big Bet",IF(AND(T20&lt;3,U20&lt;3),"Fill In","Money Pit")))</f>
        <v>Fill In</v>
      </c>
    </row>
    <row r="21" customFormat="false" ht="27.75" hidden="false" customHeight="true" outlineLevel="0" collapsed="false">
      <c r="A21" s="9" t="s">
        <v>190</v>
      </c>
      <c r="B21" s="9" t="s">
        <v>178</v>
      </c>
      <c r="C21" s="9" t="s">
        <v>179</v>
      </c>
      <c r="D21" s="30" t="s">
        <v>80</v>
      </c>
      <c r="E21" s="30" t="n">
        <v>5</v>
      </c>
      <c r="F21" s="30" t="n">
        <v>2</v>
      </c>
      <c r="G21" s="30" t="n">
        <v>2</v>
      </c>
      <c r="H21" s="30" t="n">
        <v>3</v>
      </c>
      <c r="I21" s="30" t="n">
        <v>1</v>
      </c>
      <c r="J21" s="30" t="n">
        <v>2</v>
      </c>
      <c r="K21" s="30" t="n">
        <v>3</v>
      </c>
      <c r="L21" s="30" t="n">
        <v>2</v>
      </c>
      <c r="M21" s="30" t="n">
        <v>2</v>
      </c>
      <c r="N21" s="30" t="n">
        <v>3</v>
      </c>
      <c r="O21" s="30" t="n">
        <v>2</v>
      </c>
      <c r="P21" s="30" t="s">
        <v>51</v>
      </c>
      <c r="Q21" s="31" t="n">
        <f aca="false">E21*0.35+F21*0.15+G21*0.15+H21*0.1+I21*0.15+J21*0.1</f>
        <v>3</v>
      </c>
      <c r="R21" s="32" t="n">
        <f aca="false">VLOOKUP(D21,Configuração!$B$32:$D$50,3,FALSE())</f>
        <v>1</v>
      </c>
      <c r="S21" s="32" t="n">
        <f aca="false">IF(P21="Baixa",1.5,1)</f>
        <v>1</v>
      </c>
      <c r="T21" s="33" t="n">
        <f aca="false">Q21*R21/S21</f>
        <v>3</v>
      </c>
      <c r="U21" s="33" t="n">
        <f aca="false">K21*0.15+L21*0.15+M21*0.2+N21*0.25+O21*0.25</f>
        <v>2.4</v>
      </c>
      <c r="V21" s="34" t="str">
        <f aca="false">IF(AND(T21&gt;=3,U21&lt;3),"Quick Win",IF(AND(T21&gt;=3,U21&gt;=3),"Big Bet",IF(AND(T21&lt;3,U21&lt;3),"Fill In","Money Pit")))</f>
        <v>Quick Win</v>
      </c>
    </row>
    <row r="22" customFormat="false" ht="27.75" hidden="false" customHeight="true" outlineLevel="0" collapsed="false">
      <c r="A22" s="25" t="s">
        <v>191</v>
      </c>
      <c r="B22" s="25" t="s">
        <v>178</v>
      </c>
      <c r="C22" s="25" t="s">
        <v>181</v>
      </c>
      <c r="D22" s="30" t="s">
        <v>62</v>
      </c>
      <c r="E22" s="30" t="n">
        <v>4</v>
      </c>
      <c r="F22" s="30" t="n">
        <v>2</v>
      </c>
      <c r="G22" s="30" t="n">
        <v>2</v>
      </c>
      <c r="H22" s="30" t="n">
        <v>3</v>
      </c>
      <c r="I22" s="30" t="n">
        <v>1</v>
      </c>
      <c r="J22" s="30" t="n">
        <v>2</v>
      </c>
      <c r="K22" s="30" t="n">
        <v>3</v>
      </c>
      <c r="L22" s="30" t="n">
        <v>2</v>
      </c>
      <c r="M22" s="30" t="n">
        <v>2</v>
      </c>
      <c r="N22" s="30" t="n">
        <v>3</v>
      </c>
      <c r="O22" s="30" t="n">
        <v>2</v>
      </c>
      <c r="P22" s="30" t="s">
        <v>51</v>
      </c>
      <c r="Q22" s="35" t="n">
        <f aca="false">E22*0.35+F22*0.15+G22*0.15+H22*0.1+I22*0.15+J22*0.1</f>
        <v>2.65</v>
      </c>
      <c r="R22" s="36" t="n">
        <f aca="false">VLOOKUP(D22,Configuração!$B$32:$D$50,3,FALSE())</f>
        <v>1</v>
      </c>
      <c r="S22" s="36" t="n">
        <f aca="false">IF(P22="Baixa",1.5,1)</f>
        <v>1</v>
      </c>
      <c r="T22" s="37" t="n">
        <f aca="false">Q22*R22/S22</f>
        <v>2.65</v>
      </c>
      <c r="U22" s="37" t="n">
        <f aca="false">K22*0.15+L22*0.15+M22*0.2+N22*0.25+O22*0.25</f>
        <v>2.4</v>
      </c>
      <c r="V22" s="38" t="str">
        <f aca="false">IF(AND(T22&gt;=3,U22&lt;3),"Quick Win",IF(AND(T22&gt;=3,U22&gt;=3),"Big Bet",IF(AND(T22&lt;3,U22&lt;3),"Fill In","Money Pit")))</f>
        <v>Fill In</v>
      </c>
    </row>
    <row r="23" customFormat="false" ht="27.75" hidden="false" customHeight="true" outlineLevel="0" collapsed="false">
      <c r="A23" s="9" t="s">
        <v>192</v>
      </c>
      <c r="B23" s="9" t="s">
        <v>178</v>
      </c>
      <c r="C23" s="9" t="s">
        <v>181</v>
      </c>
      <c r="D23" s="30" t="s">
        <v>80</v>
      </c>
      <c r="E23" s="30" t="n">
        <v>5</v>
      </c>
      <c r="F23" s="30" t="n">
        <v>2</v>
      </c>
      <c r="G23" s="30" t="n">
        <v>2</v>
      </c>
      <c r="H23" s="30" t="n">
        <v>3</v>
      </c>
      <c r="I23" s="30" t="n">
        <v>3</v>
      </c>
      <c r="J23" s="30" t="n">
        <v>5</v>
      </c>
      <c r="K23" s="30" t="n">
        <v>3</v>
      </c>
      <c r="L23" s="30" t="n">
        <v>4</v>
      </c>
      <c r="M23" s="30" t="n">
        <v>2</v>
      </c>
      <c r="N23" s="30" t="n">
        <v>3</v>
      </c>
      <c r="O23" s="30" t="n">
        <v>4</v>
      </c>
      <c r="P23" s="30" t="s">
        <v>51</v>
      </c>
      <c r="Q23" s="31" t="n">
        <f aca="false">E23*0.35+F23*0.15+G23*0.15+H23*0.1+I23*0.15+J23*0.1</f>
        <v>3.6</v>
      </c>
      <c r="R23" s="32" t="n">
        <f aca="false">VLOOKUP(D23,Configuração!$B$32:$D$50,3,FALSE())</f>
        <v>1</v>
      </c>
      <c r="S23" s="32" t="n">
        <f aca="false">IF(P23="Baixa",1.5,1)</f>
        <v>1</v>
      </c>
      <c r="T23" s="33" t="n">
        <f aca="false">Q23*R23/S23</f>
        <v>3.6</v>
      </c>
      <c r="U23" s="33" t="n">
        <f aca="false">K23*0.15+L23*0.15+M23*0.2+N23*0.25+O23*0.25</f>
        <v>3.2</v>
      </c>
      <c r="V23" s="34" t="str">
        <f aca="false">IF(AND(T23&gt;=3,U23&lt;3),"Quick Win",IF(AND(T23&gt;=3,U23&gt;=3),"Big Bet",IF(AND(T23&lt;3,U23&lt;3),"Fill In","Money Pit")))</f>
        <v>Big Bet</v>
      </c>
    </row>
    <row r="24" customFormat="false" ht="27.75" hidden="false" customHeight="true" outlineLevel="0" collapsed="false">
      <c r="A24" s="25" t="s">
        <v>193</v>
      </c>
      <c r="B24" s="25" t="s">
        <v>178</v>
      </c>
      <c r="C24" s="25" t="s">
        <v>181</v>
      </c>
      <c r="D24" s="30" t="s">
        <v>80</v>
      </c>
      <c r="E24" s="30" t="n">
        <v>5</v>
      </c>
      <c r="F24" s="30" t="n">
        <v>2</v>
      </c>
      <c r="G24" s="30" t="n">
        <v>2</v>
      </c>
      <c r="H24" s="30" t="n">
        <v>3</v>
      </c>
      <c r="I24" s="30" t="n">
        <v>1</v>
      </c>
      <c r="J24" s="30" t="n">
        <v>2</v>
      </c>
      <c r="K24" s="30" t="n">
        <v>3</v>
      </c>
      <c r="L24" s="30" t="n">
        <v>2</v>
      </c>
      <c r="M24" s="30" t="n">
        <v>2</v>
      </c>
      <c r="N24" s="30" t="n">
        <v>3</v>
      </c>
      <c r="O24" s="30" t="n">
        <v>2</v>
      </c>
      <c r="P24" s="30" t="s">
        <v>51</v>
      </c>
      <c r="Q24" s="35" t="n">
        <f aca="false">E24*0.35+F24*0.15+G24*0.15+H24*0.1+I24*0.15+J24*0.1</f>
        <v>3</v>
      </c>
      <c r="R24" s="36" t="n">
        <f aca="false">VLOOKUP(D24,Configuração!$B$32:$D$50,3,FALSE())</f>
        <v>1</v>
      </c>
      <c r="S24" s="36" t="n">
        <f aca="false">IF(P24="Baixa",1.5,1)</f>
        <v>1</v>
      </c>
      <c r="T24" s="37" t="n">
        <f aca="false">Q24*R24/S24</f>
        <v>3</v>
      </c>
      <c r="U24" s="37" t="n">
        <f aca="false">K24*0.15+L24*0.15+M24*0.2+N24*0.25+O24*0.25</f>
        <v>2.4</v>
      </c>
      <c r="V24" s="38" t="str">
        <f aca="false">IF(AND(T24&gt;=3,U24&lt;3),"Quick Win",IF(AND(T24&gt;=3,U24&gt;=3),"Big Bet",IF(AND(T24&lt;3,U24&lt;3),"Fill In","Money Pit")))</f>
        <v>Quick Win</v>
      </c>
    </row>
    <row r="25" customFormat="false" ht="27.75" hidden="false" customHeight="true" outlineLevel="0" collapsed="false">
      <c r="A25" s="9" t="s">
        <v>194</v>
      </c>
      <c r="B25" s="9" t="s">
        <v>178</v>
      </c>
      <c r="C25" s="9" t="s">
        <v>181</v>
      </c>
      <c r="D25" s="30" t="s">
        <v>88</v>
      </c>
      <c r="E25" s="30" t="n">
        <v>4</v>
      </c>
      <c r="F25" s="30" t="n">
        <v>5</v>
      </c>
      <c r="G25" s="30" t="n">
        <v>2</v>
      </c>
      <c r="H25" s="30" t="n">
        <v>4</v>
      </c>
      <c r="I25" s="30" t="n">
        <v>1</v>
      </c>
      <c r="J25" s="30" t="n">
        <v>5</v>
      </c>
      <c r="K25" s="30" t="n">
        <v>3</v>
      </c>
      <c r="L25" s="30" t="n">
        <v>4</v>
      </c>
      <c r="M25" s="30" t="n">
        <v>2</v>
      </c>
      <c r="N25" s="30" t="n">
        <v>4</v>
      </c>
      <c r="O25" s="30" t="n">
        <v>4</v>
      </c>
      <c r="P25" s="30" t="s">
        <v>51</v>
      </c>
      <c r="Q25" s="31" t="n">
        <f aca="false">E25*0.35+F25*0.15+G25*0.15+H25*0.1+I25*0.15+J25*0.1</f>
        <v>3.5</v>
      </c>
      <c r="R25" s="32" t="n">
        <f aca="false">VLOOKUP(D25,Configuração!$B$32:$D$50,3,FALSE())</f>
        <v>1</v>
      </c>
      <c r="S25" s="32" t="n">
        <f aca="false">IF(P25="Baixa",1.5,1)</f>
        <v>1</v>
      </c>
      <c r="T25" s="33" t="n">
        <f aca="false">Q25*R25/S25</f>
        <v>3.5</v>
      </c>
      <c r="U25" s="33" t="n">
        <f aca="false">K25*0.15+L25*0.15+M25*0.2+N25*0.25+O25*0.25</f>
        <v>3.45</v>
      </c>
      <c r="V25" s="34" t="str">
        <f aca="false">IF(AND(T25&gt;=3,U25&lt;3),"Quick Win",IF(AND(T25&gt;=3,U25&gt;=3),"Big Bet",IF(AND(T25&lt;3,U25&lt;3),"Fill In","Money Pit")))</f>
        <v>Big Bet</v>
      </c>
    </row>
    <row r="26" customFormat="false" ht="27.75" hidden="false" customHeight="true" outlineLevel="0" collapsed="false">
      <c r="A26" s="25" t="s">
        <v>195</v>
      </c>
      <c r="B26" s="25" t="s">
        <v>178</v>
      </c>
      <c r="C26" s="25" t="s">
        <v>196</v>
      </c>
      <c r="D26" s="30" t="s">
        <v>70</v>
      </c>
      <c r="E26" s="30" t="n">
        <v>4</v>
      </c>
      <c r="F26" s="30" t="n">
        <v>4</v>
      </c>
      <c r="G26" s="30" t="n">
        <v>2</v>
      </c>
      <c r="H26" s="30" t="n">
        <v>4</v>
      </c>
      <c r="I26" s="30" t="n">
        <v>1</v>
      </c>
      <c r="J26" s="30" t="n">
        <v>2</v>
      </c>
      <c r="K26" s="30" t="n">
        <v>3</v>
      </c>
      <c r="L26" s="30" t="n">
        <v>4</v>
      </c>
      <c r="M26" s="30" t="n">
        <v>2</v>
      </c>
      <c r="N26" s="30" t="n">
        <v>4</v>
      </c>
      <c r="O26" s="30" t="n">
        <v>2</v>
      </c>
      <c r="P26" s="30" t="s">
        <v>51</v>
      </c>
      <c r="Q26" s="35" t="n">
        <f aca="false">E26*0.35+F26*0.15+G26*0.15+H26*0.1+I26*0.15+J26*0.1</f>
        <v>3.05</v>
      </c>
      <c r="R26" s="36" t="n">
        <f aca="false">VLOOKUP(D26,Configuração!$B$32:$D$50,3,FALSE())</f>
        <v>1</v>
      </c>
      <c r="S26" s="36" t="n">
        <f aca="false">IF(P26="Baixa",1.5,1)</f>
        <v>1</v>
      </c>
      <c r="T26" s="37" t="n">
        <f aca="false">Q26*R26/S26</f>
        <v>3.05</v>
      </c>
      <c r="U26" s="37" t="n">
        <f aca="false">K26*0.15+L26*0.15+M26*0.2+N26*0.25+O26*0.25</f>
        <v>2.95</v>
      </c>
      <c r="V26" s="38" t="str">
        <f aca="false">IF(AND(T26&gt;=3,U26&lt;3),"Quick Win",IF(AND(T26&gt;=3,U26&gt;=3),"Big Bet",IF(AND(T26&lt;3,U26&lt;3),"Fill In","Money Pit")))</f>
        <v>Quick Win</v>
      </c>
    </row>
    <row r="27" customFormat="false" ht="27.75" hidden="false" customHeight="true" outlineLevel="0" collapsed="false">
      <c r="A27" s="9" t="s">
        <v>197</v>
      </c>
      <c r="B27" s="9" t="s">
        <v>178</v>
      </c>
      <c r="C27" s="9" t="s">
        <v>181</v>
      </c>
      <c r="D27" s="30" t="s">
        <v>62</v>
      </c>
      <c r="E27" s="30" t="n">
        <v>4</v>
      </c>
      <c r="F27" s="30" t="n">
        <v>4</v>
      </c>
      <c r="G27" s="30" t="n">
        <v>2</v>
      </c>
      <c r="H27" s="30" t="n">
        <v>3</v>
      </c>
      <c r="I27" s="30" t="n">
        <v>5</v>
      </c>
      <c r="J27" s="30" t="n">
        <v>2</v>
      </c>
      <c r="K27" s="30" t="n">
        <v>3</v>
      </c>
      <c r="L27" s="30" t="n">
        <v>2</v>
      </c>
      <c r="M27" s="30" t="n">
        <v>2</v>
      </c>
      <c r="N27" s="30" t="n">
        <v>5</v>
      </c>
      <c r="O27" s="30" t="n">
        <v>2</v>
      </c>
      <c r="P27" s="30" t="s">
        <v>51</v>
      </c>
      <c r="Q27" s="31" t="n">
        <f aca="false">E27*0.35+F27*0.15+G27*0.15+H27*0.1+I27*0.15+J27*0.1</f>
        <v>3.55</v>
      </c>
      <c r="R27" s="32" t="n">
        <f aca="false">VLOOKUP(D27,Configuração!$B$32:$D$50,3,FALSE())</f>
        <v>1</v>
      </c>
      <c r="S27" s="32" t="n">
        <f aca="false">IF(P27="Baixa",1.5,1)</f>
        <v>1</v>
      </c>
      <c r="T27" s="33" t="n">
        <f aca="false">Q27*R27/S27</f>
        <v>3.55</v>
      </c>
      <c r="U27" s="33" t="n">
        <f aca="false">K27*0.15+L27*0.15+M27*0.2+N27*0.25+O27*0.25</f>
        <v>2.9</v>
      </c>
      <c r="V27" s="34" t="str">
        <f aca="false">IF(AND(T27&gt;=3,U27&lt;3),"Quick Win",IF(AND(T27&gt;=3,U27&gt;=3),"Big Bet",IF(AND(T27&lt;3,U27&lt;3),"Fill In","Money Pit")))</f>
        <v>Quick Win</v>
      </c>
    </row>
    <row r="28" customFormat="false" ht="27.75" hidden="false" customHeight="true" outlineLevel="0" collapsed="false">
      <c r="A28" s="25" t="s">
        <v>198</v>
      </c>
      <c r="B28" s="25" t="s">
        <v>178</v>
      </c>
      <c r="C28" s="25" t="s">
        <v>181</v>
      </c>
      <c r="D28" s="30" t="s">
        <v>60</v>
      </c>
      <c r="E28" s="30" t="n">
        <v>4</v>
      </c>
      <c r="F28" s="30" t="n">
        <v>2</v>
      </c>
      <c r="G28" s="30" t="n">
        <v>4</v>
      </c>
      <c r="H28" s="30" t="n">
        <v>3</v>
      </c>
      <c r="I28" s="30" t="n">
        <v>1</v>
      </c>
      <c r="J28" s="30" t="n">
        <v>2</v>
      </c>
      <c r="K28" s="30" t="n">
        <v>3</v>
      </c>
      <c r="L28" s="30" t="n">
        <v>2</v>
      </c>
      <c r="M28" s="30" t="n">
        <v>2</v>
      </c>
      <c r="N28" s="30" t="n">
        <v>5</v>
      </c>
      <c r="O28" s="30" t="n">
        <v>2</v>
      </c>
      <c r="P28" s="30" t="s">
        <v>51</v>
      </c>
      <c r="Q28" s="35" t="n">
        <f aca="false">E28*0.35+F28*0.15+G28*0.15+H28*0.1+I28*0.15+J28*0.1</f>
        <v>2.95</v>
      </c>
      <c r="R28" s="36" t="n">
        <f aca="false">VLOOKUP(D28,Configuração!$B$32:$D$50,3,FALSE())</f>
        <v>1</v>
      </c>
      <c r="S28" s="36" t="n">
        <f aca="false">IF(P28="Baixa",1.5,1)</f>
        <v>1</v>
      </c>
      <c r="T28" s="37" t="n">
        <f aca="false">Q28*R28/S28</f>
        <v>2.95</v>
      </c>
      <c r="U28" s="37" t="n">
        <f aca="false">K28*0.15+L28*0.15+M28*0.2+N28*0.25+O28*0.25</f>
        <v>2.9</v>
      </c>
      <c r="V28" s="38" t="str">
        <f aca="false">IF(AND(T28&gt;=3,U28&lt;3),"Quick Win",IF(AND(T28&gt;=3,U28&gt;=3),"Big Bet",IF(AND(T28&lt;3,U28&lt;3),"Fill In","Money Pit")))</f>
        <v>Fill In</v>
      </c>
    </row>
    <row r="29" customFormat="false" ht="27.75" hidden="false" customHeight="true" outlineLevel="0" collapsed="false">
      <c r="A29" s="9" t="s">
        <v>199</v>
      </c>
      <c r="B29" s="9" t="s">
        <v>178</v>
      </c>
      <c r="C29" s="9" t="s">
        <v>181</v>
      </c>
      <c r="D29" s="30" t="s">
        <v>90</v>
      </c>
      <c r="E29" s="30" t="n">
        <v>3</v>
      </c>
      <c r="F29" s="30" t="n">
        <v>2</v>
      </c>
      <c r="G29" s="30" t="n">
        <v>2</v>
      </c>
      <c r="H29" s="30" t="n">
        <v>3</v>
      </c>
      <c r="I29" s="30" t="n">
        <v>1</v>
      </c>
      <c r="J29" s="30" t="n">
        <v>2</v>
      </c>
      <c r="K29" s="30" t="n">
        <v>3</v>
      </c>
      <c r="L29" s="30" t="n">
        <v>2</v>
      </c>
      <c r="M29" s="30" t="n">
        <v>2</v>
      </c>
      <c r="N29" s="30" t="n">
        <v>3</v>
      </c>
      <c r="O29" s="30" t="n">
        <v>2</v>
      </c>
      <c r="P29" s="30" t="s">
        <v>51</v>
      </c>
      <c r="Q29" s="31" t="n">
        <f aca="false">E29*0.35+F29*0.15+G29*0.15+H29*0.1+I29*0.15+J29*0.1</f>
        <v>2.3</v>
      </c>
      <c r="R29" s="32" t="n">
        <f aca="false">VLOOKUP(D29,Configuração!$B$32:$D$50,3,FALSE())</f>
        <v>1</v>
      </c>
      <c r="S29" s="32" t="n">
        <f aca="false">IF(P29="Baixa",1.5,1)</f>
        <v>1</v>
      </c>
      <c r="T29" s="33" t="n">
        <f aca="false">Q29*R29/S29</f>
        <v>2.3</v>
      </c>
      <c r="U29" s="33" t="n">
        <f aca="false">K29*0.15+L29*0.15+M29*0.2+N29*0.25+O29*0.25</f>
        <v>2.4</v>
      </c>
      <c r="V29" s="34" t="str">
        <f aca="false">IF(AND(T29&gt;=3,U29&lt;3),"Quick Win",IF(AND(T29&gt;=3,U29&gt;=3),"Big Bet",IF(AND(T29&lt;3,U29&lt;3),"Fill In","Money Pit")))</f>
        <v>Fill In</v>
      </c>
    </row>
    <row r="30" customFormat="false" ht="27.75" hidden="false" customHeight="true" outlineLevel="0" collapsed="false">
      <c r="A30" s="25" t="s">
        <v>200</v>
      </c>
      <c r="B30" s="25" t="s">
        <v>201</v>
      </c>
      <c r="C30" s="25" t="s">
        <v>169</v>
      </c>
      <c r="D30" s="30" t="s">
        <v>90</v>
      </c>
      <c r="E30" s="30" t="n">
        <v>4</v>
      </c>
      <c r="F30" s="30" t="n">
        <v>5</v>
      </c>
      <c r="G30" s="30" t="n">
        <v>2</v>
      </c>
      <c r="H30" s="30" t="n">
        <v>3</v>
      </c>
      <c r="I30" s="30" t="n">
        <v>1</v>
      </c>
      <c r="J30" s="30" t="n">
        <v>2</v>
      </c>
      <c r="K30" s="30" t="n">
        <v>3</v>
      </c>
      <c r="L30" s="30" t="n">
        <v>2</v>
      </c>
      <c r="M30" s="30" t="n">
        <v>2</v>
      </c>
      <c r="N30" s="30" t="n">
        <v>3</v>
      </c>
      <c r="O30" s="30" t="n">
        <v>2</v>
      </c>
      <c r="P30" s="30" t="s">
        <v>51</v>
      </c>
      <c r="Q30" s="35" t="n">
        <f aca="false">E30*0.35+F30*0.15+G30*0.15+H30*0.1+I30*0.15+J30*0.1</f>
        <v>3.1</v>
      </c>
      <c r="R30" s="36" t="n">
        <f aca="false">VLOOKUP(D30,Configuração!$B$32:$D$50,3,FALSE())</f>
        <v>1</v>
      </c>
      <c r="S30" s="36" t="n">
        <f aca="false">IF(P30="Baixa",1.5,1)</f>
        <v>1</v>
      </c>
      <c r="T30" s="37" t="n">
        <f aca="false">Q30*R30/S30</f>
        <v>3.1</v>
      </c>
      <c r="U30" s="37" t="n">
        <f aca="false">K30*0.15+L30*0.15+M30*0.2+N30*0.25+O30*0.25</f>
        <v>2.4</v>
      </c>
      <c r="V30" s="38" t="str">
        <f aca="false">IF(AND(T30&gt;=3,U30&lt;3),"Quick Win",IF(AND(T30&gt;=3,U30&gt;=3),"Big Bet",IF(AND(T30&lt;3,U30&lt;3),"Fill In","Money Pit")))</f>
        <v>Quick Win</v>
      </c>
    </row>
    <row r="31" customFormat="false" ht="27.75" hidden="false" customHeight="true" outlineLevel="0" collapsed="false">
      <c r="A31" s="9" t="s">
        <v>202</v>
      </c>
      <c r="B31" s="9" t="s">
        <v>203</v>
      </c>
      <c r="C31" s="9" t="s">
        <v>184</v>
      </c>
      <c r="D31" s="30" t="s">
        <v>84</v>
      </c>
      <c r="E31" s="30" t="n">
        <v>5</v>
      </c>
      <c r="F31" s="30" t="n">
        <v>5</v>
      </c>
      <c r="G31" s="30" t="n">
        <v>3</v>
      </c>
      <c r="H31" s="30" t="n">
        <v>4</v>
      </c>
      <c r="I31" s="30" t="n">
        <v>1</v>
      </c>
      <c r="J31" s="30" t="n">
        <v>5</v>
      </c>
      <c r="K31" s="30" t="n">
        <v>3</v>
      </c>
      <c r="L31" s="30" t="n">
        <v>4</v>
      </c>
      <c r="M31" s="30" t="n">
        <v>2</v>
      </c>
      <c r="N31" s="30" t="n">
        <v>4</v>
      </c>
      <c r="O31" s="30" t="n">
        <v>5</v>
      </c>
      <c r="P31" s="30" t="s">
        <v>51</v>
      </c>
      <c r="Q31" s="31" t="n">
        <f aca="false">E31*0.35+F31*0.15+G31*0.15+H31*0.1+I31*0.15+J31*0.1</f>
        <v>4</v>
      </c>
      <c r="R31" s="32" t="n">
        <f aca="false">VLOOKUP(D31,Configuração!$B$32:$D$50,3,FALSE())</f>
        <v>1</v>
      </c>
      <c r="S31" s="32" t="n">
        <f aca="false">IF(P31="Baixa",1.5,1)</f>
        <v>1</v>
      </c>
      <c r="T31" s="33" t="n">
        <f aca="false">Q31*R31/S31</f>
        <v>4</v>
      </c>
      <c r="U31" s="33" t="n">
        <f aca="false">K31*0.15+L31*0.15+M31*0.2+N31*0.25+O31*0.25</f>
        <v>3.7</v>
      </c>
      <c r="V31" s="34" t="str">
        <f aca="false">IF(AND(T31&gt;=3,U31&lt;3),"Quick Win",IF(AND(T31&gt;=3,U31&gt;=3),"Big Bet",IF(AND(T31&lt;3,U31&lt;3),"Fill In","Money Pit")))</f>
        <v>Big Bet</v>
      </c>
    </row>
    <row r="32" customFormat="false" ht="27.75" hidden="false" customHeight="true" outlineLevel="0" collapsed="false">
      <c r="A32" s="25" t="s">
        <v>204</v>
      </c>
      <c r="B32" s="25" t="s">
        <v>203</v>
      </c>
      <c r="C32" s="25" t="s">
        <v>184</v>
      </c>
      <c r="D32" s="30" t="s">
        <v>84</v>
      </c>
      <c r="E32" s="30" t="n">
        <v>5</v>
      </c>
      <c r="F32" s="30" t="n">
        <v>5</v>
      </c>
      <c r="G32" s="30" t="n">
        <v>2</v>
      </c>
      <c r="H32" s="30" t="n">
        <v>3</v>
      </c>
      <c r="I32" s="30" t="n">
        <v>1</v>
      </c>
      <c r="J32" s="30" t="n">
        <v>5</v>
      </c>
      <c r="K32" s="30" t="n">
        <v>3</v>
      </c>
      <c r="L32" s="30" t="n">
        <v>2</v>
      </c>
      <c r="M32" s="30" t="n">
        <v>2</v>
      </c>
      <c r="N32" s="30" t="n">
        <v>3</v>
      </c>
      <c r="O32" s="30" t="n">
        <v>4</v>
      </c>
      <c r="P32" s="30" t="s">
        <v>51</v>
      </c>
      <c r="Q32" s="35" t="n">
        <f aca="false">E32*0.35+F32*0.15+G32*0.15+H32*0.1+I32*0.15+J32*0.1</f>
        <v>3.75</v>
      </c>
      <c r="R32" s="36" t="n">
        <f aca="false">VLOOKUP(D32,Configuração!$B$32:$D$50,3,FALSE())</f>
        <v>1</v>
      </c>
      <c r="S32" s="36" t="n">
        <f aca="false">IF(P32="Baixa",1.5,1)</f>
        <v>1</v>
      </c>
      <c r="T32" s="37" t="n">
        <f aca="false">Q32*R32/S32</f>
        <v>3.75</v>
      </c>
      <c r="U32" s="37" t="n">
        <f aca="false">K32*0.15+L32*0.15+M32*0.2+N32*0.25+O32*0.25</f>
        <v>2.9</v>
      </c>
      <c r="V32" s="38" t="str">
        <f aca="false">IF(AND(T32&gt;=3,U32&lt;3),"Quick Win",IF(AND(T32&gt;=3,U32&gt;=3),"Big Bet",IF(AND(T32&lt;3,U32&lt;3),"Fill In","Money Pit")))</f>
        <v>Quick Win</v>
      </c>
    </row>
    <row r="33" customFormat="false" ht="27.75" hidden="false" customHeight="true" outlineLevel="0" collapsed="false">
      <c r="A33" s="9" t="s">
        <v>205</v>
      </c>
      <c r="B33" s="9" t="s">
        <v>203</v>
      </c>
      <c r="C33" s="9" t="s">
        <v>196</v>
      </c>
      <c r="D33" s="30" t="s">
        <v>84</v>
      </c>
      <c r="E33" s="30" t="n">
        <v>5</v>
      </c>
      <c r="F33" s="30" t="n">
        <v>5</v>
      </c>
      <c r="G33" s="30" t="n">
        <v>2</v>
      </c>
      <c r="H33" s="30" t="n">
        <v>4</v>
      </c>
      <c r="I33" s="30" t="n">
        <v>1</v>
      </c>
      <c r="J33" s="30" t="n">
        <v>5</v>
      </c>
      <c r="K33" s="30" t="n">
        <v>3</v>
      </c>
      <c r="L33" s="30" t="n">
        <v>4</v>
      </c>
      <c r="M33" s="30" t="n">
        <v>2</v>
      </c>
      <c r="N33" s="30" t="n">
        <v>4</v>
      </c>
      <c r="O33" s="30" t="n">
        <v>5</v>
      </c>
      <c r="P33" s="30" t="s">
        <v>51</v>
      </c>
      <c r="Q33" s="31" t="n">
        <f aca="false">E33*0.35+F33*0.15+G33*0.15+H33*0.1+I33*0.15+J33*0.1</f>
        <v>3.85</v>
      </c>
      <c r="R33" s="32" t="n">
        <f aca="false">VLOOKUP(D33,Configuração!$B$32:$D$50,3,FALSE())</f>
        <v>1</v>
      </c>
      <c r="S33" s="32" t="n">
        <f aca="false">IF(P33="Baixa",1.5,1)</f>
        <v>1</v>
      </c>
      <c r="T33" s="33" t="n">
        <f aca="false">Q33*R33/S33</f>
        <v>3.85</v>
      </c>
      <c r="U33" s="33" t="n">
        <f aca="false">K33*0.15+L33*0.15+M33*0.2+N33*0.25+O33*0.25</f>
        <v>3.7</v>
      </c>
      <c r="V33" s="34" t="str">
        <f aca="false">IF(AND(T33&gt;=3,U33&lt;3),"Quick Win",IF(AND(T33&gt;=3,U33&gt;=3),"Big Bet",IF(AND(T33&lt;3,U33&lt;3),"Fill In","Money Pit")))</f>
        <v>Big Bet</v>
      </c>
    </row>
    <row r="34" customFormat="false" ht="27.75" hidden="false" customHeight="true" outlineLevel="0" collapsed="false">
      <c r="A34" s="25" t="s">
        <v>206</v>
      </c>
      <c r="B34" s="25" t="s">
        <v>203</v>
      </c>
      <c r="C34" s="25" t="s">
        <v>184</v>
      </c>
      <c r="D34" s="30" t="s">
        <v>84</v>
      </c>
      <c r="E34" s="30" t="n">
        <v>5</v>
      </c>
      <c r="F34" s="30" t="n">
        <v>5</v>
      </c>
      <c r="G34" s="30" t="n">
        <v>3</v>
      </c>
      <c r="H34" s="30" t="n">
        <v>4</v>
      </c>
      <c r="I34" s="30" t="n">
        <v>1</v>
      </c>
      <c r="J34" s="30" t="n">
        <v>5</v>
      </c>
      <c r="K34" s="30" t="n">
        <v>3</v>
      </c>
      <c r="L34" s="30" t="n">
        <v>4</v>
      </c>
      <c r="M34" s="30" t="n">
        <v>2</v>
      </c>
      <c r="N34" s="30" t="n">
        <v>4</v>
      </c>
      <c r="O34" s="30" t="n">
        <v>5</v>
      </c>
      <c r="P34" s="30" t="s">
        <v>51</v>
      </c>
      <c r="Q34" s="35" t="n">
        <f aca="false">E34*0.35+F34*0.15+G34*0.15+H34*0.1+I34*0.15+J34*0.1</f>
        <v>4</v>
      </c>
      <c r="R34" s="36" t="n">
        <f aca="false">VLOOKUP(D34,Configuração!$B$32:$D$50,3,FALSE())</f>
        <v>1</v>
      </c>
      <c r="S34" s="36" t="n">
        <f aca="false">IF(P34="Baixa",1.5,1)</f>
        <v>1</v>
      </c>
      <c r="T34" s="37" t="n">
        <f aca="false">Q34*R34/S34</f>
        <v>4</v>
      </c>
      <c r="U34" s="37" t="n">
        <f aca="false">K34*0.15+L34*0.15+M34*0.2+N34*0.25+O34*0.25</f>
        <v>3.7</v>
      </c>
      <c r="V34" s="38" t="str">
        <f aca="false">IF(AND(T34&gt;=3,U34&lt;3),"Quick Win",IF(AND(T34&gt;=3,U34&gt;=3),"Big Bet",IF(AND(T34&lt;3,U34&lt;3),"Fill In","Money Pit")))</f>
        <v>Big Bet</v>
      </c>
    </row>
    <row r="35" customFormat="false" ht="27.75" hidden="false" customHeight="true" outlineLevel="0" collapsed="false">
      <c r="A35" s="9" t="s">
        <v>207</v>
      </c>
      <c r="B35" s="9" t="s">
        <v>203</v>
      </c>
      <c r="C35" s="9" t="s">
        <v>184</v>
      </c>
      <c r="D35" s="30" t="s">
        <v>76</v>
      </c>
      <c r="E35" s="30" t="n">
        <v>4</v>
      </c>
      <c r="F35" s="30" t="n">
        <v>5</v>
      </c>
      <c r="G35" s="30" t="n">
        <v>3</v>
      </c>
      <c r="H35" s="30" t="n">
        <v>4</v>
      </c>
      <c r="I35" s="30" t="n">
        <v>1</v>
      </c>
      <c r="J35" s="30" t="n">
        <v>4</v>
      </c>
      <c r="K35" s="30" t="n">
        <v>3</v>
      </c>
      <c r="L35" s="30" t="n">
        <v>2</v>
      </c>
      <c r="M35" s="30" t="n">
        <v>2</v>
      </c>
      <c r="N35" s="30" t="n">
        <v>4</v>
      </c>
      <c r="O35" s="30" t="n">
        <v>5</v>
      </c>
      <c r="P35" s="30" t="s">
        <v>51</v>
      </c>
      <c r="Q35" s="31" t="n">
        <f aca="false">E35*0.35+F35*0.15+G35*0.15+H35*0.1+I35*0.15+J35*0.1</f>
        <v>3.55</v>
      </c>
      <c r="R35" s="32" t="n">
        <f aca="false">VLOOKUP(D35,Configuração!$B$32:$D$50,3,FALSE())</f>
        <v>1</v>
      </c>
      <c r="S35" s="32" t="n">
        <f aca="false">IF(P35="Baixa",1.5,1)</f>
        <v>1</v>
      </c>
      <c r="T35" s="33" t="n">
        <f aca="false">Q35*R35/S35</f>
        <v>3.55</v>
      </c>
      <c r="U35" s="33" t="n">
        <f aca="false">K35*0.15+L35*0.15+M35*0.2+N35*0.25+O35*0.25</f>
        <v>3.4</v>
      </c>
      <c r="V35" s="34" t="str">
        <f aca="false">IF(AND(T35&gt;=3,U35&lt;3),"Quick Win",IF(AND(T35&gt;=3,U35&gt;=3),"Big Bet",IF(AND(T35&lt;3,U35&lt;3),"Fill In","Money Pit")))</f>
        <v>Big Bet</v>
      </c>
    </row>
    <row r="36" customFormat="false" ht="27.75" hidden="false" customHeight="true" outlineLevel="0" collapsed="false">
      <c r="A36" s="25" t="s">
        <v>208</v>
      </c>
      <c r="B36" s="25" t="s">
        <v>203</v>
      </c>
      <c r="C36" s="25" t="s">
        <v>184</v>
      </c>
      <c r="D36" s="30" t="s">
        <v>84</v>
      </c>
      <c r="E36" s="30" t="n">
        <v>5</v>
      </c>
      <c r="F36" s="30" t="n">
        <v>5</v>
      </c>
      <c r="G36" s="30" t="n">
        <v>4</v>
      </c>
      <c r="H36" s="30" t="n">
        <v>3</v>
      </c>
      <c r="I36" s="30" t="n">
        <v>1</v>
      </c>
      <c r="J36" s="30" t="n">
        <v>5</v>
      </c>
      <c r="K36" s="30" t="n">
        <v>3</v>
      </c>
      <c r="L36" s="30" t="n">
        <v>2</v>
      </c>
      <c r="M36" s="30" t="n">
        <v>2</v>
      </c>
      <c r="N36" s="30" t="n">
        <v>3</v>
      </c>
      <c r="O36" s="30" t="n">
        <v>4</v>
      </c>
      <c r="P36" s="30" t="s">
        <v>51</v>
      </c>
      <c r="Q36" s="35" t="n">
        <f aca="false">E36*0.35+F36*0.15+G36*0.15+H36*0.1+I36*0.15+J36*0.1</f>
        <v>4.05</v>
      </c>
      <c r="R36" s="36" t="n">
        <f aca="false">VLOOKUP(D36,Configuração!$B$32:$D$50,3,FALSE())</f>
        <v>1</v>
      </c>
      <c r="S36" s="36" t="n">
        <f aca="false">IF(P36="Baixa",1.5,1)</f>
        <v>1</v>
      </c>
      <c r="T36" s="37" t="n">
        <f aca="false">Q36*R36/S36</f>
        <v>4.05</v>
      </c>
      <c r="U36" s="37" t="n">
        <f aca="false">K36*0.15+L36*0.15+M36*0.2+N36*0.25+O36*0.25</f>
        <v>2.9</v>
      </c>
      <c r="V36" s="38" t="str">
        <f aca="false">IF(AND(T36&gt;=3,U36&lt;3),"Quick Win",IF(AND(T36&gt;=3,U36&gt;=3),"Big Bet",IF(AND(T36&lt;3,U36&lt;3),"Fill In","Money Pit")))</f>
        <v>Quick Win</v>
      </c>
    </row>
    <row r="37" customFormat="false" ht="27.75" hidden="false" customHeight="true" outlineLevel="0" collapsed="false">
      <c r="A37" s="9" t="s">
        <v>209</v>
      </c>
      <c r="B37" s="9" t="s">
        <v>203</v>
      </c>
      <c r="C37" s="9" t="s">
        <v>184</v>
      </c>
      <c r="D37" s="30" t="s">
        <v>84</v>
      </c>
      <c r="E37" s="30" t="n">
        <v>5</v>
      </c>
      <c r="F37" s="30" t="n">
        <v>5</v>
      </c>
      <c r="G37" s="30" t="n">
        <v>4</v>
      </c>
      <c r="H37" s="30" t="n">
        <v>3</v>
      </c>
      <c r="I37" s="30" t="n">
        <v>1</v>
      </c>
      <c r="J37" s="30" t="n">
        <v>5</v>
      </c>
      <c r="K37" s="30" t="n">
        <v>3</v>
      </c>
      <c r="L37" s="30" t="n">
        <v>4</v>
      </c>
      <c r="M37" s="30" t="n">
        <v>2</v>
      </c>
      <c r="N37" s="30" t="n">
        <v>3</v>
      </c>
      <c r="O37" s="30" t="n">
        <v>2</v>
      </c>
      <c r="P37" s="30" t="s">
        <v>51</v>
      </c>
      <c r="Q37" s="31" t="n">
        <f aca="false">E37*0.35+F37*0.15+G37*0.15+H37*0.1+I37*0.15+J37*0.1</f>
        <v>4.05</v>
      </c>
      <c r="R37" s="32" t="n">
        <f aca="false">VLOOKUP(D37,Configuração!$B$32:$D$50,3,FALSE())</f>
        <v>1</v>
      </c>
      <c r="S37" s="32" t="n">
        <f aca="false">IF(P37="Baixa",1.5,1)</f>
        <v>1</v>
      </c>
      <c r="T37" s="33" t="n">
        <f aca="false">Q37*R37/S37</f>
        <v>4.05</v>
      </c>
      <c r="U37" s="33" t="n">
        <f aca="false">K37*0.15+L37*0.15+M37*0.2+N37*0.25+O37*0.25</f>
        <v>2.7</v>
      </c>
      <c r="V37" s="34" t="str">
        <f aca="false">IF(AND(T37&gt;=3,U37&lt;3),"Quick Win",IF(AND(T37&gt;=3,U37&gt;=3),"Big Bet",IF(AND(T37&lt;3,U37&lt;3),"Fill In","Money Pit")))</f>
        <v>Quick Win</v>
      </c>
    </row>
    <row r="38" customFormat="false" ht="27.75" hidden="false" customHeight="true" outlineLevel="0" collapsed="false">
      <c r="A38" s="25" t="s">
        <v>210</v>
      </c>
      <c r="B38" s="25" t="s">
        <v>211</v>
      </c>
      <c r="C38" s="25" t="s">
        <v>196</v>
      </c>
      <c r="D38" s="30" t="s">
        <v>94</v>
      </c>
      <c r="E38" s="30" t="n">
        <v>3</v>
      </c>
      <c r="F38" s="30" t="n">
        <v>4</v>
      </c>
      <c r="G38" s="30" t="n">
        <v>2</v>
      </c>
      <c r="H38" s="30" t="n">
        <v>3</v>
      </c>
      <c r="I38" s="30" t="n">
        <v>1</v>
      </c>
      <c r="J38" s="30" t="n">
        <v>2</v>
      </c>
      <c r="K38" s="30" t="n">
        <v>3</v>
      </c>
      <c r="L38" s="30" t="n">
        <v>2</v>
      </c>
      <c r="M38" s="30" t="n">
        <v>2</v>
      </c>
      <c r="N38" s="30" t="n">
        <v>3</v>
      </c>
      <c r="O38" s="30" t="n">
        <v>2</v>
      </c>
      <c r="P38" s="30" t="s">
        <v>51</v>
      </c>
      <c r="Q38" s="35" t="n">
        <f aca="false">E38*0.35+F38*0.15+G38*0.15+H38*0.1+I38*0.15+J38*0.1</f>
        <v>2.6</v>
      </c>
      <c r="R38" s="36" t="n">
        <f aca="false">VLOOKUP(D38,Configuração!$B$32:$D$50,3,FALSE())</f>
        <v>1</v>
      </c>
      <c r="S38" s="36" t="n">
        <f aca="false">IF(P38="Baixa",1.5,1)</f>
        <v>1</v>
      </c>
      <c r="T38" s="37" t="n">
        <f aca="false">Q38*R38/S38</f>
        <v>2.6</v>
      </c>
      <c r="U38" s="37" t="n">
        <f aca="false">K38*0.15+L38*0.15+M38*0.2+N38*0.25+O38*0.25</f>
        <v>2.4</v>
      </c>
      <c r="V38" s="38" t="str">
        <f aca="false">IF(AND(T38&gt;=3,U38&lt;3),"Quick Win",IF(AND(T38&gt;=3,U38&gt;=3),"Big Bet",IF(AND(T38&lt;3,U38&lt;3),"Fill In","Money Pit")))</f>
        <v>Fill In</v>
      </c>
    </row>
    <row r="39" customFormat="false" ht="27.75" hidden="false" customHeight="true" outlineLevel="0" collapsed="false">
      <c r="A39" s="9" t="s">
        <v>212</v>
      </c>
      <c r="B39" s="9" t="s">
        <v>213</v>
      </c>
      <c r="C39" s="9" t="s">
        <v>176</v>
      </c>
      <c r="D39" s="30" t="s">
        <v>90</v>
      </c>
      <c r="E39" s="30" t="n">
        <v>4</v>
      </c>
      <c r="F39" s="30" t="n">
        <v>2</v>
      </c>
      <c r="G39" s="30" t="n">
        <v>2</v>
      </c>
      <c r="H39" s="30" t="n">
        <v>3</v>
      </c>
      <c r="I39" s="30" t="n">
        <v>1</v>
      </c>
      <c r="J39" s="30" t="n">
        <v>4</v>
      </c>
      <c r="K39" s="30" t="n">
        <v>3</v>
      </c>
      <c r="L39" s="30" t="n">
        <v>2</v>
      </c>
      <c r="M39" s="30" t="n">
        <v>2</v>
      </c>
      <c r="N39" s="30" t="n">
        <v>3</v>
      </c>
      <c r="O39" s="30" t="n">
        <v>2</v>
      </c>
      <c r="P39" s="30" t="s">
        <v>51</v>
      </c>
      <c r="Q39" s="31" t="n">
        <f aca="false">E39*0.35+F39*0.15+G39*0.15+H39*0.1+I39*0.15+J39*0.1</f>
        <v>2.85</v>
      </c>
      <c r="R39" s="32" t="n">
        <f aca="false">VLOOKUP(D39,Configuração!$B$32:$D$50,3,FALSE())</f>
        <v>1</v>
      </c>
      <c r="S39" s="32" t="n">
        <f aca="false">IF(P39="Baixa",1.5,1)</f>
        <v>1</v>
      </c>
      <c r="T39" s="33" t="n">
        <f aca="false">Q39*R39/S39</f>
        <v>2.85</v>
      </c>
      <c r="U39" s="33" t="n">
        <f aca="false">K39*0.15+L39*0.15+M39*0.2+N39*0.25+O39*0.25</f>
        <v>2.4</v>
      </c>
      <c r="V39" s="34" t="str">
        <f aca="false">IF(AND(T39&gt;=3,U39&lt;3),"Quick Win",IF(AND(T39&gt;=3,U39&gt;=3),"Big Bet",IF(AND(T39&lt;3,U39&lt;3),"Fill In","Money Pit")))</f>
        <v>Fill In</v>
      </c>
    </row>
    <row r="40" customFormat="false" ht="27.75" hidden="false" customHeight="true" outlineLevel="0" collapsed="false">
      <c r="A40" s="25" t="s">
        <v>214</v>
      </c>
      <c r="B40" s="25" t="s">
        <v>213</v>
      </c>
      <c r="C40" s="25" t="s">
        <v>181</v>
      </c>
      <c r="D40" s="30" t="s">
        <v>90</v>
      </c>
      <c r="E40" s="30" t="n">
        <v>4</v>
      </c>
      <c r="F40" s="30" t="n">
        <v>2</v>
      </c>
      <c r="G40" s="30" t="n">
        <v>2</v>
      </c>
      <c r="H40" s="30" t="n">
        <v>3</v>
      </c>
      <c r="I40" s="30" t="n">
        <v>1</v>
      </c>
      <c r="J40" s="30" t="n">
        <v>2</v>
      </c>
      <c r="K40" s="30" t="n">
        <v>3</v>
      </c>
      <c r="L40" s="30" t="n">
        <v>2</v>
      </c>
      <c r="M40" s="30" t="n">
        <v>2</v>
      </c>
      <c r="N40" s="30" t="n">
        <v>3</v>
      </c>
      <c r="O40" s="30" t="n">
        <v>2</v>
      </c>
      <c r="P40" s="30" t="s">
        <v>51</v>
      </c>
      <c r="Q40" s="35" t="n">
        <f aca="false">E40*0.35+F40*0.15+G40*0.15+H40*0.1+I40*0.15+J40*0.1</f>
        <v>2.65</v>
      </c>
      <c r="R40" s="36" t="n">
        <f aca="false">VLOOKUP(D40,Configuração!$B$32:$D$50,3,FALSE())</f>
        <v>1</v>
      </c>
      <c r="S40" s="36" t="n">
        <f aca="false">IF(P40="Baixa",1.5,1)</f>
        <v>1</v>
      </c>
      <c r="T40" s="37" t="n">
        <f aca="false">Q40*R40/S40</f>
        <v>2.65</v>
      </c>
      <c r="U40" s="37" t="n">
        <f aca="false">K40*0.15+L40*0.15+M40*0.2+N40*0.25+O40*0.25</f>
        <v>2.4</v>
      </c>
      <c r="V40" s="38" t="str">
        <f aca="false">IF(AND(T40&gt;=3,U40&lt;3),"Quick Win",IF(AND(T40&gt;=3,U40&gt;=3),"Big Bet",IF(AND(T40&lt;3,U40&lt;3),"Fill In","Money Pit")))</f>
        <v>Fill In</v>
      </c>
    </row>
    <row r="41" customFormat="false" ht="27.75" hidden="false" customHeight="true" outlineLevel="0" collapsed="false">
      <c r="A41" s="9" t="s">
        <v>215</v>
      </c>
      <c r="B41" s="9" t="s">
        <v>213</v>
      </c>
      <c r="C41" s="9" t="s">
        <v>176</v>
      </c>
      <c r="D41" s="30" t="s">
        <v>90</v>
      </c>
      <c r="E41" s="30" t="n">
        <v>4</v>
      </c>
      <c r="F41" s="30" t="n">
        <v>2</v>
      </c>
      <c r="G41" s="30" t="n">
        <v>2</v>
      </c>
      <c r="H41" s="30" t="n">
        <v>3</v>
      </c>
      <c r="I41" s="30" t="n">
        <v>1</v>
      </c>
      <c r="J41" s="30" t="n">
        <v>4</v>
      </c>
      <c r="K41" s="30" t="n">
        <v>3</v>
      </c>
      <c r="L41" s="30" t="n">
        <v>2</v>
      </c>
      <c r="M41" s="30" t="n">
        <v>2</v>
      </c>
      <c r="N41" s="30" t="n">
        <v>3</v>
      </c>
      <c r="O41" s="30" t="n">
        <v>2</v>
      </c>
      <c r="P41" s="30" t="s">
        <v>51</v>
      </c>
      <c r="Q41" s="31" t="n">
        <f aca="false">E41*0.35+F41*0.15+G41*0.15+H41*0.1+I41*0.15+J41*0.1</f>
        <v>2.85</v>
      </c>
      <c r="R41" s="32" t="n">
        <f aca="false">VLOOKUP(D41,Configuração!$B$32:$D$50,3,FALSE())</f>
        <v>1</v>
      </c>
      <c r="S41" s="32" t="n">
        <f aca="false">IF(P41="Baixa",1.5,1)</f>
        <v>1</v>
      </c>
      <c r="T41" s="33" t="n">
        <f aca="false">Q41*R41/S41</f>
        <v>2.85</v>
      </c>
      <c r="U41" s="33" t="n">
        <f aca="false">K41*0.15+L41*0.15+M41*0.2+N41*0.25+O41*0.25</f>
        <v>2.4</v>
      </c>
      <c r="V41" s="34" t="str">
        <f aca="false">IF(AND(T41&gt;=3,U41&lt;3),"Quick Win",IF(AND(T41&gt;=3,U41&gt;=3),"Big Bet",IF(AND(T41&lt;3,U41&lt;3),"Fill In","Money Pit")))</f>
        <v>Fill In</v>
      </c>
    </row>
    <row r="42" customFormat="false" ht="27.75" hidden="false" customHeight="true" outlineLevel="0" collapsed="false">
      <c r="A42" s="25" t="s">
        <v>216</v>
      </c>
      <c r="B42" s="25" t="s">
        <v>213</v>
      </c>
      <c r="C42" s="25" t="s">
        <v>181</v>
      </c>
      <c r="D42" s="30" t="s">
        <v>90</v>
      </c>
      <c r="E42" s="30" t="n">
        <v>4</v>
      </c>
      <c r="F42" s="30" t="n">
        <v>2</v>
      </c>
      <c r="G42" s="30" t="n">
        <v>2</v>
      </c>
      <c r="H42" s="30" t="n">
        <v>3</v>
      </c>
      <c r="I42" s="30" t="n">
        <v>5</v>
      </c>
      <c r="J42" s="30" t="n">
        <v>4</v>
      </c>
      <c r="K42" s="30" t="n">
        <v>3</v>
      </c>
      <c r="L42" s="30" t="n">
        <v>2</v>
      </c>
      <c r="M42" s="30" t="n">
        <v>2</v>
      </c>
      <c r="N42" s="30" t="n">
        <v>5</v>
      </c>
      <c r="O42" s="30" t="n">
        <v>4</v>
      </c>
      <c r="P42" s="30" t="s">
        <v>51</v>
      </c>
      <c r="Q42" s="35" t="n">
        <f aca="false">E42*0.35+F42*0.15+G42*0.15+H42*0.1+I42*0.15+J42*0.1</f>
        <v>3.45</v>
      </c>
      <c r="R42" s="36" t="n">
        <f aca="false">VLOOKUP(D42,Configuração!$B$32:$D$50,3,FALSE())</f>
        <v>1</v>
      </c>
      <c r="S42" s="36" t="n">
        <f aca="false">IF(P42="Baixa",1.5,1)</f>
        <v>1</v>
      </c>
      <c r="T42" s="37" t="n">
        <f aca="false">Q42*R42/S42</f>
        <v>3.45</v>
      </c>
      <c r="U42" s="37" t="n">
        <f aca="false">K42*0.15+L42*0.15+M42*0.2+N42*0.25+O42*0.25</f>
        <v>3.4</v>
      </c>
      <c r="V42" s="38" t="str">
        <f aca="false">IF(AND(T42&gt;=3,U42&lt;3),"Quick Win",IF(AND(T42&gt;=3,U42&gt;=3),"Big Bet",IF(AND(T42&lt;3,U42&lt;3),"Fill In","Money Pit")))</f>
        <v>Big Bet</v>
      </c>
    </row>
    <row r="43" customFormat="false" ht="27.75" hidden="false" customHeight="true" outlineLevel="0" collapsed="false">
      <c r="A43" s="9" t="s">
        <v>217</v>
      </c>
      <c r="B43" s="9" t="s">
        <v>213</v>
      </c>
      <c r="C43" s="9" t="s">
        <v>181</v>
      </c>
      <c r="D43" s="30" t="s">
        <v>90</v>
      </c>
      <c r="E43" s="30" t="n">
        <v>4</v>
      </c>
      <c r="F43" s="30" t="n">
        <v>2</v>
      </c>
      <c r="G43" s="30" t="n">
        <v>2</v>
      </c>
      <c r="H43" s="30" t="n">
        <v>3</v>
      </c>
      <c r="I43" s="30" t="n">
        <v>1</v>
      </c>
      <c r="J43" s="30" t="n">
        <v>4</v>
      </c>
      <c r="K43" s="30" t="n">
        <v>3</v>
      </c>
      <c r="L43" s="30" t="n">
        <v>2</v>
      </c>
      <c r="M43" s="30" t="n">
        <v>2</v>
      </c>
      <c r="N43" s="30" t="n">
        <v>3</v>
      </c>
      <c r="O43" s="30" t="n">
        <v>2</v>
      </c>
      <c r="P43" s="30" t="s">
        <v>51</v>
      </c>
      <c r="Q43" s="31" t="n">
        <f aca="false">E43*0.35+F43*0.15+G43*0.15+H43*0.1+I43*0.15+J43*0.1</f>
        <v>2.85</v>
      </c>
      <c r="R43" s="32" t="n">
        <f aca="false">VLOOKUP(D43,Configuração!$B$32:$D$50,3,FALSE())</f>
        <v>1</v>
      </c>
      <c r="S43" s="32" t="n">
        <f aca="false">IF(P43="Baixa",1.5,1)</f>
        <v>1</v>
      </c>
      <c r="T43" s="33" t="n">
        <f aca="false">Q43*R43/S43</f>
        <v>2.85</v>
      </c>
      <c r="U43" s="33" t="n">
        <f aca="false">K43*0.15+L43*0.15+M43*0.2+N43*0.25+O43*0.25</f>
        <v>2.4</v>
      </c>
      <c r="V43" s="34" t="str">
        <f aca="false">IF(AND(T43&gt;=3,U43&lt;3),"Quick Win",IF(AND(T43&gt;=3,U43&gt;=3),"Big Bet",IF(AND(T43&lt;3,U43&lt;3),"Fill In","Money Pit")))</f>
        <v>Fill In</v>
      </c>
    </row>
    <row r="44" customFormat="false" ht="27.75" hidden="false" customHeight="true" outlineLevel="0" collapsed="false">
      <c r="A44" s="25" t="s">
        <v>218</v>
      </c>
      <c r="B44" s="25" t="s">
        <v>213</v>
      </c>
      <c r="C44" s="25" t="s">
        <v>176</v>
      </c>
      <c r="D44" s="30" t="s">
        <v>90</v>
      </c>
      <c r="E44" s="30" t="n">
        <v>4</v>
      </c>
      <c r="F44" s="30" t="n">
        <v>2</v>
      </c>
      <c r="G44" s="30" t="n">
        <v>2</v>
      </c>
      <c r="H44" s="30" t="n">
        <v>3</v>
      </c>
      <c r="I44" s="30" t="n">
        <v>1</v>
      </c>
      <c r="J44" s="30" t="n">
        <v>4</v>
      </c>
      <c r="K44" s="30" t="n">
        <v>3</v>
      </c>
      <c r="L44" s="30" t="n">
        <v>2</v>
      </c>
      <c r="M44" s="30" t="n">
        <v>2</v>
      </c>
      <c r="N44" s="30" t="n">
        <v>3</v>
      </c>
      <c r="O44" s="30" t="n">
        <v>2</v>
      </c>
      <c r="P44" s="30" t="s">
        <v>51</v>
      </c>
      <c r="Q44" s="35" t="n">
        <f aca="false">E44*0.35+F44*0.15+G44*0.15+H44*0.1+I44*0.15+J44*0.1</f>
        <v>2.85</v>
      </c>
      <c r="R44" s="36" t="n">
        <f aca="false">VLOOKUP(D44,Configuração!$B$32:$D$50,3,FALSE())</f>
        <v>1</v>
      </c>
      <c r="S44" s="36" t="n">
        <f aca="false">IF(P44="Baixa",1.5,1)</f>
        <v>1</v>
      </c>
      <c r="T44" s="37" t="n">
        <f aca="false">Q44*R44/S44</f>
        <v>2.85</v>
      </c>
      <c r="U44" s="37" t="n">
        <f aca="false">K44*0.15+L44*0.15+M44*0.2+N44*0.25+O44*0.25</f>
        <v>2.4</v>
      </c>
      <c r="V44" s="38" t="str">
        <f aca="false">IF(AND(T44&gt;=3,U44&lt;3),"Quick Win",IF(AND(T44&gt;=3,U44&gt;=3),"Big Bet",IF(AND(T44&lt;3,U44&lt;3),"Fill In","Money Pit")))</f>
        <v>Fill In</v>
      </c>
    </row>
    <row r="45" customFormat="false" ht="27.75" hidden="false" customHeight="true" outlineLevel="0" collapsed="false">
      <c r="A45" s="9" t="s">
        <v>219</v>
      </c>
      <c r="B45" s="9" t="s">
        <v>213</v>
      </c>
      <c r="C45" s="9" t="s">
        <v>176</v>
      </c>
      <c r="D45" s="30" t="s">
        <v>90</v>
      </c>
      <c r="E45" s="30" t="n">
        <v>4</v>
      </c>
      <c r="F45" s="30" t="n">
        <v>2</v>
      </c>
      <c r="G45" s="30" t="n">
        <v>2</v>
      </c>
      <c r="H45" s="30" t="n">
        <v>3</v>
      </c>
      <c r="I45" s="30" t="n">
        <v>1</v>
      </c>
      <c r="J45" s="30" t="n">
        <v>2</v>
      </c>
      <c r="K45" s="30" t="n">
        <v>3</v>
      </c>
      <c r="L45" s="30" t="n">
        <v>2</v>
      </c>
      <c r="M45" s="30" t="n">
        <v>2</v>
      </c>
      <c r="N45" s="30" t="n">
        <v>3</v>
      </c>
      <c r="O45" s="30" t="n">
        <v>2</v>
      </c>
      <c r="P45" s="30" t="s">
        <v>51</v>
      </c>
      <c r="Q45" s="31" t="n">
        <f aca="false">E45*0.35+F45*0.15+G45*0.15+H45*0.1+I45*0.15+J45*0.1</f>
        <v>2.65</v>
      </c>
      <c r="R45" s="32" t="n">
        <f aca="false">VLOOKUP(D45,Configuração!$B$32:$D$50,3,FALSE())</f>
        <v>1</v>
      </c>
      <c r="S45" s="32" t="n">
        <f aca="false">IF(P45="Baixa",1.5,1)</f>
        <v>1</v>
      </c>
      <c r="T45" s="33" t="n">
        <f aca="false">Q45*R45/S45</f>
        <v>2.65</v>
      </c>
      <c r="U45" s="33" t="n">
        <f aca="false">K45*0.15+L45*0.15+M45*0.2+N45*0.25+O45*0.25</f>
        <v>2.4</v>
      </c>
      <c r="V45" s="34" t="str">
        <f aca="false">IF(AND(T45&gt;=3,U45&lt;3),"Quick Win",IF(AND(T45&gt;=3,U45&gt;=3),"Big Bet",IF(AND(T45&lt;3,U45&lt;3),"Fill In","Money Pit")))</f>
        <v>Fill In</v>
      </c>
    </row>
    <row r="46" customFormat="false" ht="27.75" hidden="false" customHeight="true" outlineLevel="0" collapsed="false">
      <c r="A46" s="25" t="s">
        <v>220</v>
      </c>
      <c r="B46" s="25" t="s">
        <v>221</v>
      </c>
      <c r="C46" s="25" t="s">
        <v>222</v>
      </c>
      <c r="D46" s="30" t="s">
        <v>90</v>
      </c>
      <c r="E46" s="30" t="n">
        <v>3</v>
      </c>
      <c r="F46" s="30" t="n">
        <v>2</v>
      </c>
      <c r="G46" s="30" t="n">
        <v>2</v>
      </c>
      <c r="H46" s="30" t="n">
        <v>3</v>
      </c>
      <c r="I46" s="30" t="n">
        <v>3</v>
      </c>
      <c r="J46" s="30" t="n">
        <v>2</v>
      </c>
      <c r="K46" s="30" t="n">
        <v>3</v>
      </c>
      <c r="L46" s="30" t="n">
        <v>2</v>
      </c>
      <c r="M46" s="30" t="n">
        <v>2</v>
      </c>
      <c r="N46" s="30" t="n">
        <v>3</v>
      </c>
      <c r="O46" s="30" t="n">
        <v>2</v>
      </c>
      <c r="P46" s="30" t="s">
        <v>51</v>
      </c>
      <c r="Q46" s="35" t="n">
        <f aca="false">E46*0.35+F46*0.15+G46*0.15+H46*0.1+I46*0.15+J46*0.1</f>
        <v>2.6</v>
      </c>
      <c r="R46" s="36" t="n">
        <f aca="false">VLOOKUP(D46,Configuração!$B$32:$D$50,3,FALSE())</f>
        <v>1</v>
      </c>
      <c r="S46" s="36" t="n">
        <f aca="false">IF(P46="Baixa",1.5,1)</f>
        <v>1</v>
      </c>
      <c r="T46" s="37" t="n">
        <f aca="false">Q46*R46/S46</f>
        <v>2.6</v>
      </c>
      <c r="U46" s="37" t="n">
        <f aca="false">K46*0.15+L46*0.15+M46*0.2+N46*0.25+O46*0.25</f>
        <v>2.4</v>
      </c>
      <c r="V46" s="38" t="str">
        <f aca="false">IF(AND(T46&gt;=3,U46&lt;3),"Quick Win",IF(AND(T46&gt;=3,U46&gt;=3),"Big Bet",IF(AND(T46&lt;3,U46&lt;3),"Fill In","Money Pit")))</f>
        <v>Fill In</v>
      </c>
    </row>
    <row r="47" customFormat="false" ht="27.75" hidden="false" customHeight="true" outlineLevel="0" collapsed="false">
      <c r="A47" s="9" t="s">
        <v>223</v>
      </c>
      <c r="B47" s="9" t="s">
        <v>224</v>
      </c>
      <c r="C47" s="9" t="s">
        <v>196</v>
      </c>
      <c r="D47" s="30" t="s">
        <v>70</v>
      </c>
      <c r="E47" s="30" t="n">
        <v>4</v>
      </c>
      <c r="F47" s="30" t="n">
        <v>2</v>
      </c>
      <c r="G47" s="30" t="n">
        <v>2</v>
      </c>
      <c r="H47" s="30" t="n">
        <v>3</v>
      </c>
      <c r="I47" s="30" t="n">
        <v>1</v>
      </c>
      <c r="J47" s="30" t="n">
        <v>2</v>
      </c>
      <c r="K47" s="30" t="n">
        <v>3</v>
      </c>
      <c r="L47" s="30" t="n">
        <v>2</v>
      </c>
      <c r="M47" s="30" t="n">
        <v>2</v>
      </c>
      <c r="N47" s="30" t="n">
        <v>5</v>
      </c>
      <c r="O47" s="30" t="n">
        <v>2</v>
      </c>
      <c r="P47" s="30" t="s">
        <v>51</v>
      </c>
      <c r="Q47" s="31" t="n">
        <f aca="false">E47*0.35+F47*0.15+G47*0.15+H47*0.1+I47*0.15+J47*0.1</f>
        <v>2.65</v>
      </c>
      <c r="R47" s="32" t="n">
        <f aca="false">VLOOKUP(D47,Configuração!$B$32:$D$50,3,FALSE())</f>
        <v>1</v>
      </c>
      <c r="S47" s="32" t="n">
        <f aca="false">IF(P47="Baixa",1.5,1)</f>
        <v>1</v>
      </c>
      <c r="T47" s="33" t="n">
        <f aca="false">Q47*R47/S47</f>
        <v>2.65</v>
      </c>
      <c r="U47" s="33" t="n">
        <f aca="false">K47*0.15+L47*0.15+M47*0.2+N47*0.25+O47*0.25</f>
        <v>2.9</v>
      </c>
      <c r="V47" s="34" t="str">
        <f aca="false">IF(AND(T47&gt;=3,U47&lt;3),"Quick Win",IF(AND(T47&gt;=3,U47&gt;=3),"Big Bet",IF(AND(T47&lt;3,U47&lt;3),"Fill In","Money Pit")))</f>
        <v>Fill In</v>
      </c>
    </row>
    <row r="48" customFormat="false" ht="27.75" hidden="false" customHeight="true" outlineLevel="0" collapsed="false">
      <c r="A48" s="25" t="s">
        <v>225</v>
      </c>
      <c r="B48" s="25" t="s">
        <v>224</v>
      </c>
      <c r="C48" s="25" t="s">
        <v>181</v>
      </c>
      <c r="D48" s="30" t="s">
        <v>84</v>
      </c>
      <c r="E48" s="30" t="n">
        <v>5</v>
      </c>
      <c r="F48" s="30" t="n">
        <v>5</v>
      </c>
      <c r="G48" s="30" t="n">
        <v>2</v>
      </c>
      <c r="H48" s="30" t="n">
        <v>3</v>
      </c>
      <c r="I48" s="30" t="n">
        <v>1</v>
      </c>
      <c r="J48" s="30" t="n">
        <v>5</v>
      </c>
      <c r="K48" s="30" t="n">
        <v>3</v>
      </c>
      <c r="L48" s="30" t="n">
        <v>4</v>
      </c>
      <c r="M48" s="30" t="n">
        <v>2</v>
      </c>
      <c r="N48" s="30" t="n">
        <v>3</v>
      </c>
      <c r="O48" s="30" t="n">
        <v>2</v>
      </c>
      <c r="P48" s="30" t="s">
        <v>51</v>
      </c>
      <c r="Q48" s="35" t="n">
        <f aca="false">E48*0.35+F48*0.15+G48*0.15+H48*0.1+I48*0.15+J48*0.1</f>
        <v>3.75</v>
      </c>
      <c r="R48" s="36" t="n">
        <f aca="false">VLOOKUP(D48,Configuração!$B$32:$D$50,3,FALSE())</f>
        <v>1</v>
      </c>
      <c r="S48" s="36" t="n">
        <f aca="false">IF(P48="Baixa",1.5,1)</f>
        <v>1</v>
      </c>
      <c r="T48" s="37" t="n">
        <f aca="false">Q48*R48/S48</f>
        <v>3.75</v>
      </c>
      <c r="U48" s="37" t="n">
        <f aca="false">K48*0.15+L48*0.15+M48*0.2+N48*0.25+O48*0.25</f>
        <v>2.7</v>
      </c>
      <c r="V48" s="38" t="str">
        <f aca="false">IF(AND(T48&gt;=3,U48&lt;3),"Quick Win",IF(AND(T48&gt;=3,U48&gt;=3),"Big Bet",IF(AND(T48&lt;3,U48&lt;3),"Fill In","Money Pit")))</f>
        <v>Quick Win</v>
      </c>
    </row>
    <row r="49" customFormat="false" ht="27.75" hidden="false" customHeight="true" outlineLevel="0" collapsed="false">
      <c r="A49" s="9" t="s">
        <v>226</v>
      </c>
      <c r="B49" s="9" t="s">
        <v>224</v>
      </c>
      <c r="C49" s="9" t="s">
        <v>196</v>
      </c>
      <c r="D49" s="30" t="s">
        <v>62</v>
      </c>
      <c r="E49" s="30" t="n">
        <v>4</v>
      </c>
      <c r="F49" s="30" t="n">
        <v>2</v>
      </c>
      <c r="G49" s="30" t="n">
        <v>2</v>
      </c>
      <c r="H49" s="30" t="n">
        <v>3</v>
      </c>
      <c r="I49" s="30" t="n">
        <v>3</v>
      </c>
      <c r="J49" s="30" t="n">
        <v>5</v>
      </c>
      <c r="K49" s="30" t="n">
        <v>3</v>
      </c>
      <c r="L49" s="30" t="n">
        <v>2</v>
      </c>
      <c r="M49" s="30" t="n">
        <v>2</v>
      </c>
      <c r="N49" s="30" t="n">
        <v>3</v>
      </c>
      <c r="O49" s="30" t="n">
        <v>4</v>
      </c>
      <c r="P49" s="30" t="s">
        <v>51</v>
      </c>
      <c r="Q49" s="31" t="n">
        <f aca="false">E49*0.35+F49*0.15+G49*0.15+H49*0.1+I49*0.15+J49*0.1</f>
        <v>3.25</v>
      </c>
      <c r="R49" s="32" t="n">
        <f aca="false">VLOOKUP(D49,Configuração!$B$32:$D$50,3,FALSE())</f>
        <v>1</v>
      </c>
      <c r="S49" s="32" t="n">
        <f aca="false">IF(P49="Baixa",1.5,1)</f>
        <v>1</v>
      </c>
      <c r="T49" s="33" t="n">
        <f aca="false">Q49*R49/S49</f>
        <v>3.25</v>
      </c>
      <c r="U49" s="33" t="n">
        <f aca="false">K49*0.15+L49*0.15+M49*0.2+N49*0.25+O49*0.25</f>
        <v>2.9</v>
      </c>
      <c r="V49" s="34" t="str">
        <f aca="false">IF(AND(T49&gt;=3,U49&lt;3),"Quick Win",IF(AND(T49&gt;=3,U49&gt;=3),"Big Bet",IF(AND(T49&lt;3,U49&lt;3),"Fill In","Money Pit")))</f>
        <v>Quick Win</v>
      </c>
    </row>
    <row r="50" customFormat="false" ht="27.75" hidden="false" customHeight="true" outlineLevel="0" collapsed="false">
      <c r="A50" s="25" t="s">
        <v>227</v>
      </c>
      <c r="B50" s="25" t="s">
        <v>228</v>
      </c>
      <c r="C50" s="25" t="s">
        <v>181</v>
      </c>
      <c r="D50" s="30" t="s">
        <v>70</v>
      </c>
      <c r="E50" s="30" t="n">
        <v>4</v>
      </c>
      <c r="F50" s="30" t="n">
        <v>2</v>
      </c>
      <c r="G50" s="30" t="n">
        <v>2</v>
      </c>
      <c r="H50" s="30" t="n">
        <v>4</v>
      </c>
      <c r="I50" s="30" t="n">
        <v>1</v>
      </c>
      <c r="J50" s="30" t="n">
        <v>4</v>
      </c>
      <c r="K50" s="30" t="n">
        <v>3</v>
      </c>
      <c r="L50" s="30" t="n">
        <v>2</v>
      </c>
      <c r="M50" s="30" t="n">
        <v>2</v>
      </c>
      <c r="N50" s="30" t="n">
        <v>5</v>
      </c>
      <c r="O50" s="30" t="n">
        <v>4</v>
      </c>
      <c r="P50" s="30" t="s">
        <v>51</v>
      </c>
      <c r="Q50" s="35" t="n">
        <f aca="false">E50*0.35+F50*0.15+G50*0.15+H50*0.1+I50*0.15+J50*0.1</f>
        <v>2.95</v>
      </c>
      <c r="R50" s="36" t="n">
        <f aca="false">VLOOKUP(D50,Configuração!$B$32:$D$50,3,FALSE())</f>
        <v>1</v>
      </c>
      <c r="S50" s="36" t="n">
        <f aca="false">IF(P50="Baixa",1.5,1)</f>
        <v>1</v>
      </c>
      <c r="T50" s="37" t="n">
        <f aca="false">Q50*R50/S50</f>
        <v>2.95</v>
      </c>
      <c r="U50" s="37" t="n">
        <f aca="false">K50*0.15+L50*0.15+M50*0.2+N50*0.25+O50*0.25</f>
        <v>3.4</v>
      </c>
      <c r="V50" s="38" t="str">
        <f aca="false">IF(AND(T50&gt;=3,U50&lt;3),"Quick Win",IF(AND(T50&gt;=3,U50&gt;=3),"Big Bet",IF(AND(T50&lt;3,U50&lt;3),"Fill In","Money Pit")))</f>
        <v>Money Pit</v>
      </c>
    </row>
    <row r="51" customFormat="false" ht="27.75" hidden="false" customHeight="true" outlineLevel="0" collapsed="false">
      <c r="A51" s="9" t="s">
        <v>229</v>
      </c>
      <c r="B51" s="9" t="s">
        <v>228</v>
      </c>
      <c r="C51" s="9" t="s">
        <v>230</v>
      </c>
      <c r="D51" s="30" t="s">
        <v>60</v>
      </c>
      <c r="E51" s="30" t="n">
        <v>4</v>
      </c>
      <c r="F51" s="30" t="n">
        <v>3</v>
      </c>
      <c r="G51" s="30" t="n">
        <v>4</v>
      </c>
      <c r="H51" s="30" t="n">
        <v>3</v>
      </c>
      <c r="I51" s="30" t="n">
        <v>1</v>
      </c>
      <c r="J51" s="30" t="n">
        <v>2</v>
      </c>
      <c r="K51" s="30" t="n">
        <v>3</v>
      </c>
      <c r="L51" s="30" t="n">
        <v>2</v>
      </c>
      <c r="M51" s="30" t="n">
        <v>2</v>
      </c>
      <c r="N51" s="30" t="n">
        <v>3</v>
      </c>
      <c r="O51" s="30" t="n">
        <v>2</v>
      </c>
      <c r="P51" s="30" t="s">
        <v>51</v>
      </c>
      <c r="Q51" s="31" t="n">
        <f aca="false">E51*0.35+F51*0.15+G51*0.15+H51*0.1+I51*0.15+J51*0.1</f>
        <v>3.1</v>
      </c>
      <c r="R51" s="32" t="n">
        <f aca="false">VLOOKUP(D51,Configuração!$B$32:$D$50,3,FALSE())</f>
        <v>1</v>
      </c>
      <c r="S51" s="32" t="n">
        <f aca="false">IF(P51="Baixa",1.5,1)</f>
        <v>1</v>
      </c>
      <c r="T51" s="33" t="n">
        <f aca="false">Q51*R51/S51</f>
        <v>3.1</v>
      </c>
      <c r="U51" s="33" t="n">
        <f aca="false">K51*0.15+L51*0.15+M51*0.2+N51*0.25+O51*0.25</f>
        <v>2.4</v>
      </c>
      <c r="V51" s="34" t="str">
        <f aca="false">IF(AND(T51&gt;=3,U51&lt;3),"Quick Win",IF(AND(T51&gt;=3,U51&gt;=3),"Big Bet",IF(AND(T51&lt;3,U51&lt;3),"Fill In","Money Pit")))</f>
        <v>Quick Win</v>
      </c>
    </row>
    <row r="52" customFormat="false" ht="27.75" hidden="false" customHeight="true" outlineLevel="0" collapsed="false">
      <c r="A52" s="25" t="s">
        <v>231</v>
      </c>
      <c r="B52" s="25" t="s">
        <v>228</v>
      </c>
      <c r="C52" s="25" t="s">
        <v>230</v>
      </c>
      <c r="D52" s="30" t="s">
        <v>86</v>
      </c>
      <c r="E52" s="30" t="n">
        <v>5</v>
      </c>
      <c r="F52" s="30" t="n">
        <v>2</v>
      </c>
      <c r="G52" s="30" t="n">
        <v>2</v>
      </c>
      <c r="H52" s="30" t="n">
        <v>3</v>
      </c>
      <c r="I52" s="30" t="n">
        <v>1</v>
      </c>
      <c r="J52" s="30" t="n">
        <v>3</v>
      </c>
      <c r="K52" s="30" t="n">
        <v>3</v>
      </c>
      <c r="L52" s="30" t="n">
        <v>2</v>
      </c>
      <c r="M52" s="30" t="n">
        <v>2</v>
      </c>
      <c r="N52" s="30" t="n">
        <v>3</v>
      </c>
      <c r="O52" s="30" t="n">
        <v>4</v>
      </c>
      <c r="P52" s="30" t="s">
        <v>51</v>
      </c>
      <c r="Q52" s="35" t="n">
        <f aca="false">E52*0.35+F52*0.15+G52*0.15+H52*0.1+I52*0.15+J52*0.1</f>
        <v>3.1</v>
      </c>
      <c r="R52" s="36" t="n">
        <f aca="false">VLOOKUP(D52,Configuração!$B$32:$D$50,3,FALSE())</f>
        <v>1</v>
      </c>
      <c r="S52" s="36" t="n">
        <f aca="false">IF(P52="Baixa",1.5,1)</f>
        <v>1</v>
      </c>
      <c r="T52" s="37" t="n">
        <f aca="false">Q52*R52/S52</f>
        <v>3.1</v>
      </c>
      <c r="U52" s="37" t="n">
        <f aca="false">K52*0.15+L52*0.15+M52*0.2+N52*0.25+O52*0.25</f>
        <v>2.9</v>
      </c>
      <c r="V52" s="38" t="str">
        <f aca="false">IF(AND(T52&gt;=3,U52&lt;3),"Quick Win",IF(AND(T52&gt;=3,U52&gt;=3),"Big Bet",IF(AND(T52&lt;3,U52&lt;3),"Fill In","Money Pit")))</f>
        <v>Quick Win</v>
      </c>
    </row>
    <row r="53" customFormat="false" ht="27.75" hidden="false" customHeight="true" outlineLevel="0" collapsed="false">
      <c r="A53" s="9" t="s">
        <v>232</v>
      </c>
      <c r="B53" s="9" t="s">
        <v>228</v>
      </c>
      <c r="C53" s="9" t="s">
        <v>230</v>
      </c>
      <c r="D53" s="30" t="s">
        <v>86</v>
      </c>
      <c r="E53" s="30" t="n">
        <v>5</v>
      </c>
      <c r="F53" s="30" t="n">
        <v>2</v>
      </c>
      <c r="G53" s="30" t="n">
        <v>2</v>
      </c>
      <c r="H53" s="30" t="n">
        <v>3</v>
      </c>
      <c r="I53" s="30" t="n">
        <v>1</v>
      </c>
      <c r="J53" s="30" t="n">
        <v>3</v>
      </c>
      <c r="K53" s="30" t="n">
        <v>3</v>
      </c>
      <c r="L53" s="30" t="n">
        <v>2</v>
      </c>
      <c r="M53" s="30" t="n">
        <v>2</v>
      </c>
      <c r="N53" s="30" t="n">
        <v>3</v>
      </c>
      <c r="O53" s="30" t="n">
        <v>4</v>
      </c>
      <c r="P53" s="30" t="s">
        <v>51</v>
      </c>
      <c r="Q53" s="31" t="n">
        <f aca="false">E53*0.35+F53*0.15+G53*0.15+H53*0.1+I53*0.15+J53*0.1</f>
        <v>3.1</v>
      </c>
      <c r="R53" s="32" t="n">
        <f aca="false">VLOOKUP(D53,Configuração!$B$32:$D$50,3,FALSE())</f>
        <v>1</v>
      </c>
      <c r="S53" s="32" t="n">
        <f aca="false">IF(P53="Baixa",1.5,1)</f>
        <v>1</v>
      </c>
      <c r="T53" s="33" t="n">
        <f aca="false">Q53*R53/S53</f>
        <v>3.1</v>
      </c>
      <c r="U53" s="33" t="n">
        <f aca="false">K53*0.15+L53*0.15+M53*0.2+N53*0.25+O53*0.25</f>
        <v>2.9</v>
      </c>
      <c r="V53" s="34" t="str">
        <f aca="false">IF(AND(T53&gt;=3,U53&lt;3),"Quick Win",IF(AND(T53&gt;=3,U53&gt;=3),"Big Bet",IF(AND(T53&lt;3,U53&lt;3),"Fill In","Money Pit")))</f>
        <v>Quick Win</v>
      </c>
    </row>
    <row r="54" customFormat="false" ht="27.75" hidden="false" customHeight="true" outlineLevel="0" collapsed="false">
      <c r="A54" s="25" t="s">
        <v>233</v>
      </c>
      <c r="B54" s="25" t="s">
        <v>228</v>
      </c>
      <c r="C54" s="25" t="s">
        <v>230</v>
      </c>
      <c r="D54" s="30" t="s">
        <v>86</v>
      </c>
      <c r="E54" s="30" t="n">
        <v>5</v>
      </c>
      <c r="F54" s="30" t="n">
        <v>2</v>
      </c>
      <c r="G54" s="30" t="n">
        <v>2</v>
      </c>
      <c r="H54" s="30" t="n">
        <v>3</v>
      </c>
      <c r="I54" s="30" t="n">
        <v>1</v>
      </c>
      <c r="J54" s="30" t="n">
        <v>3</v>
      </c>
      <c r="K54" s="30" t="n">
        <v>3</v>
      </c>
      <c r="L54" s="30" t="n">
        <v>2</v>
      </c>
      <c r="M54" s="30" t="n">
        <v>2</v>
      </c>
      <c r="N54" s="30" t="n">
        <v>3</v>
      </c>
      <c r="O54" s="30" t="n">
        <v>4</v>
      </c>
      <c r="P54" s="30" t="s">
        <v>51</v>
      </c>
      <c r="Q54" s="35" t="n">
        <f aca="false">E54*0.35+F54*0.15+G54*0.15+H54*0.1+I54*0.15+J54*0.1</f>
        <v>3.1</v>
      </c>
      <c r="R54" s="36" t="n">
        <f aca="false">VLOOKUP(D54,Configuração!$B$32:$D$50,3,FALSE())</f>
        <v>1</v>
      </c>
      <c r="S54" s="36" t="n">
        <f aca="false">IF(P54="Baixa",1.5,1)</f>
        <v>1</v>
      </c>
      <c r="T54" s="37" t="n">
        <f aca="false">Q54*R54/S54</f>
        <v>3.1</v>
      </c>
      <c r="U54" s="37" t="n">
        <f aca="false">K54*0.15+L54*0.15+M54*0.2+N54*0.25+O54*0.25</f>
        <v>2.9</v>
      </c>
      <c r="V54" s="38" t="str">
        <f aca="false">IF(AND(T54&gt;=3,U54&lt;3),"Quick Win",IF(AND(T54&gt;=3,U54&gt;=3),"Big Bet",IF(AND(T54&lt;3,U54&lt;3),"Fill In","Money Pit")))</f>
        <v>Quick Win</v>
      </c>
    </row>
    <row r="55" customFormat="false" ht="27.75" hidden="false" customHeight="true" outlineLevel="0" collapsed="false">
      <c r="A55" s="9" t="s">
        <v>234</v>
      </c>
      <c r="B55" s="9" t="s">
        <v>235</v>
      </c>
      <c r="C55" s="9" t="s">
        <v>181</v>
      </c>
      <c r="D55" s="30" t="s">
        <v>60</v>
      </c>
      <c r="E55" s="30" t="n">
        <v>4</v>
      </c>
      <c r="F55" s="30" t="n">
        <v>2</v>
      </c>
      <c r="G55" s="30" t="n">
        <v>4</v>
      </c>
      <c r="H55" s="30" t="n">
        <v>4</v>
      </c>
      <c r="I55" s="30" t="n">
        <v>5</v>
      </c>
      <c r="J55" s="30" t="n">
        <v>4</v>
      </c>
      <c r="K55" s="30" t="n">
        <v>3</v>
      </c>
      <c r="L55" s="30" t="n">
        <v>2</v>
      </c>
      <c r="M55" s="30" t="n">
        <v>2</v>
      </c>
      <c r="N55" s="30" t="n">
        <v>4</v>
      </c>
      <c r="O55" s="30" t="n">
        <v>4</v>
      </c>
      <c r="P55" s="30" t="s">
        <v>51</v>
      </c>
      <c r="Q55" s="31" t="n">
        <f aca="false">E55*0.35+F55*0.15+G55*0.15+H55*0.1+I55*0.15+J55*0.1</f>
        <v>3.85</v>
      </c>
      <c r="R55" s="32" t="n">
        <f aca="false">VLOOKUP(D55,Configuração!$B$32:$D$50,3,FALSE())</f>
        <v>1</v>
      </c>
      <c r="S55" s="32" t="n">
        <f aca="false">IF(P55="Baixa",1.5,1)</f>
        <v>1</v>
      </c>
      <c r="T55" s="33" t="n">
        <f aca="false">Q55*R55/S55</f>
        <v>3.85</v>
      </c>
      <c r="U55" s="33" t="n">
        <f aca="false">K55*0.15+L55*0.15+M55*0.2+N55*0.25+O55*0.25</f>
        <v>3.15</v>
      </c>
      <c r="V55" s="34" t="str">
        <f aca="false">IF(AND(T55&gt;=3,U55&lt;3),"Quick Win",IF(AND(T55&gt;=3,U55&gt;=3),"Big Bet",IF(AND(T55&lt;3,U55&lt;3),"Fill In","Money Pit")))</f>
        <v>Big Bet</v>
      </c>
    </row>
    <row r="56" customFormat="false" ht="27.75" hidden="false" customHeight="true" outlineLevel="0" collapsed="false">
      <c r="A56" s="25" t="s">
        <v>236</v>
      </c>
      <c r="B56" s="25" t="s">
        <v>235</v>
      </c>
      <c r="C56" s="25" t="s">
        <v>181</v>
      </c>
      <c r="D56" s="30" t="s">
        <v>60</v>
      </c>
      <c r="E56" s="30" t="n">
        <v>4</v>
      </c>
      <c r="F56" s="30" t="n">
        <v>2</v>
      </c>
      <c r="G56" s="30" t="n">
        <v>5</v>
      </c>
      <c r="H56" s="30" t="n">
        <v>4</v>
      </c>
      <c r="I56" s="30" t="n">
        <v>5</v>
      </c>
      <c r="J56" s="30" t="n">
        <v>4</v>
      </c>
      <c r="K56" s="30" t="n">
        <v>3</v>
      </c>
      <c r="L56" s="30" t="n">
        <v>2</v>
      </c>
      <c r="M56" s="30" t="n">
        <v>2</v>
      </c>
      <c r="N56" s="30" t="n">
        <v>4</v>
      </c>
      <c r="O56" s="30" t="n">
        <v>4</v>
      </c>
      <c r="P56" s="30" t="s">
        <v>51</v>
      </c>
      <c r="Q56" s="35" t="n">
        <f aca="false">E56*0.35+F56*0.15+G56*0.15+H56*0.1+I56*0.15+J56*0.1</f>
        <v>4</v>
      </c>
      <c r="R56" s="36" t="n">
        <f aca="false">VLOOKUP(D56,Configuração!$B$32:$D$50,3,FALSE())</f>
        <v>1</v>
      </c>
      <c r="S56" s="36" t="n">
        <f aca="false">IF(P56="Baixa",1.5,1)</f>
        <v>1</v>
      </c>
      <c r="T56" s="37" t="n">
        <f aca="false">Q56*R56/S56</f>
        <v>4</v>
      </c>
      <c r="U56" s="37" t="n">
        <f aca="false">K56*0.15+L56*0.15+M56*0.2+N56*0.25+O56*0.25</f>
        <v>3.15</v>
      </c>
      <c r="V56" s="38" t="str">
        <f aca="false">IF(AND(T56&gt;=3,U56&lt;3),"Quick Win",IF(AND(T56&gt;=3,U56&gt;=3),"Big Bet",IF(AND(T56&lt;3,U56&lt;3),"Fill In","Money Pit")))</f>
        <v>Big Bet</v>
      </c>
    </row>
    <row r="57" customFormat="false" ht="27.75" hidden="false" customHeight="true" outlineLevel="0" collapsed="false">
      <c r="A57" s="9" t="s">
        <v>237</v>
      </c>
      <c r="B57" s="9" t="s">
        <v>235</v>
      </c>
      <c r="C57" s="9" t="s">
        <v>184</v>
      </c>
      <c r="D57" s="30" t="s">
        <v>84</v>
      </c>
      <c r="E57" s="30" t="n">
        <v>5</v>
      </c>
      <c r="F57" s="30" t="n">
        <v>5</v>
      </c>
      <c r="G57" s="30" t="n">
        <v>3</v>
      </c>
      <c r="H57" s="30" t="n">
        <v>4</v>
      </c>
      <c r="I57" s="30" t="n">
        <v>1</v>
      </c>
      <c r="J57" s="30" t="n">
        <v>5</v>
      </c>
      <c r="K57" s="30" t="n">
        <v>3</v>
      </c>
      <c r="L57" s="30" t="n">
        <v>2</v>
      </c>
      <c r="M57" s="30" t="n">
        <v>2</v>
      </c>
      <c r="N57" s="30" t="n">
        <v>4</v>
      </c>
      <c r="O57" s="30" t="n">
        <v>4</v>
      </c>
      <c r="P57" s="30" t="s">
        <v>51</v>
      </c>
      <c r="Q57" s="31" t="n">
        <f aca="false">E57*0.35+F57*0.15+G57*0.15+H57*0.1+I57*0.15+J57*0.1</f>
        <v>4</v>
      </c>
      <c r="R57" s="32" t="n">
        <f aca="false">VLOOKUP(D57,Configuração!$B$32:$D$50,3,FALSE())</f>
        <v>1</v>
      </c>
      <c r="S57" s="32" t="n">
        <f aca="false">IF(P57="Baixa",1.5,1)</f>
        <v>1</v>
      </c>
      <c r="T57" s="33" t="n">
        <f aca="false">Q57*R57/S57</f>
        <v>4</v>
      </c>
      <c r="U57" s="33" t="n">
        <f aca="false">K57*0.15+L57*0.15+M57*0.2+N57*0.25+O57*0.25</f>
        <v>3.15</v>
      </c>
      <c r="V57" s="34" t="str">
        <f aca="false">IF(AND(T57&gt;=3,U57&lt;3),"Quick Win",IF(AND(T57&gt;=3,U57&gt;=3),"Big Bet",IF(AND(T57&lt;3,U57&lt;3),"Fill In","Money Pit")))</f>
        <v>Big Bet</v>
      </c>
    </row>
    <row r="58" customFormat="false" ht="27.75" hidden="false" customHeight="true" outlineLevel="0" collapsed="false">
      <c r="A58" s="25" t="s">
        <v>238</v>
      </c>
      <c r="B58" s="25" t="s">
        <v>235</v>
      </c>
      <c r="C58" s="25" t="s">
        <v>169</v>
      </c>
      <c r="D58" s="30" t="s">
        <v>84</v>
      </c>
      <c r="E58" s="30" t="n">
        <v>5</v>
      </c>
      <c r="F58" s="30" t="n">
        <v>5</v>
      </c>
      <c r="G58" s="30" t="n">
        <v>4</v>
      </c>
      <c r="H58" s="30" t="n">
        <v>4</v>
      </c>
      <c r="I58" s="30" t="n">
        <v>1</v>
      </c>
      <c r="J58" s="30" t="n">
        <v>5</v>
      </c>
      <c r="K58" s="30" t="n">
        <v>3</v>
      </c>
      <c r="L58" s="30" t="n">
        <v>4</v>
      </c>
      <c r="M58" s="30" t="n">
        <v>2</v>
      </c>
      <c r="N58" s="30" t="n">
        <v>4</v>
      </c>
      <c r="O58" s="30" t="n">
        <v>5</v>
      </c>
      <c r="P58" s="30" t="s">
        <v>51</v>
      </c>
      <c r="Q58" s="35" t="n">
        <f aca="false">E58*0.35+F58*0.15+G58*0.15+H58*0.1+I58*0.15+J58*0.1</f>
        <v>4.15</v>
      </c>
      <c r="R58" s="36" t="n">
        <f aca="false">VLOOKUP(D58,Configuração!$B$32:$D$50,3,FALSE())</f>
        <v>1</v>
      </c>
      <c r="S58" s="36" t="n">
        <f aca="false">IF(P58="Baixa",1.5,1)</f>
        <v>1</v>
      </c>
      <c r="T58" s="37" t="n">
        <f aca="false">Q58*R58/S58</f>
        <v>4.15</v>
      </c>
      <c r="U58" s="37" t="n">
        <f aca="false">K58*0.15+L58*0.15+M58*0.2+N58*0.25+O58*0.25</f>
        <v>3.7</v>
      </c>
      <c r="V58" s="38" t="str">
        <f aca="false">IF(AND(T58&gt;=3,U58&lt;3),"Quick Win",IF(AND(T58&gt;=3,U58&gt;=3),"Big Bet",IF(AND(T58&lt;3,U58&lt;3),"Fill In","Money Pit")))</f>
        <v>Big Bet</v>
      </c>
    </row>
    <row r="59" customFormat="false" ht="27.75" hidden="false" customHeight="true" outlineLevel="0" collapsed="false">
      <c r="A59" s="9" t="s">
        <v>239</v>
      </c>
      <c r="B59" s="9" t="s">
        <v>235</v>
      </c>
      <c r="C59" s="9" t="s">
        <v>181</v>
      </c>
      <c r="D59" s="30" t="s">
        <v>60</v>
      </c>
      <c r="E59" s="30" t="n">
        <v>4</v>
      </c>
      <c r="F59" s="30" t="n">
        <v>2</v>
      </c>
      <c r="G59" s="30" t="n">
        <v>5</v>
      </c>
      <c r="H59" s="30" t="n">
        <v>4</v>
      </c>
      <c r="I59" s="30" t="n">
        <v>5</v>
      </c>
      <c r="J59" s="30" t="n">
        <v>4</v>
      </c>
      <c r="K59" s="30" t="n">
        <v>3</v>
      </c>
      <c r="L59" s="30" t="n">
        <v>4</v>
      </c>
      <c r="M59" s="30" t="n">
        <v>2</v>
      </c>
      <c r="N59" s="30" t="n">
        <v>5</v>
      </c>
      <c r="O59" s="30" t="n">
        <v>5</v>
      </c>
      <c r="P59" s="30" t="s">
        <v>51</v>
      </c>
      <c r="Q59" s="31" t="n">
        <f aca="false">E59*0.35+F59*0.15+G59*0.15+H59*0.1+I59*0.15+J59*0.1</f>
        <v>4</v>
      </c>
      <c r="R59" s="32" t="n">
        <f aca="false">VLOOKUP(D59,Configuração!$B$32:$D$50,3,FALSE())</f>
        <v>1</v>
      </c>
      <c r="S59" s="32" t="n">
        <f aca="false">IF(P59="Baixa",1.5,1)</f>
        <v>1</v>
      </c>
      <c r="T59" s="33" t="n">
        <f aca="false">Q59*R59/S59</f>
        <v>4</v>
      </c>
      <c r="U59" s="33" t="n">
        <f aca="false">K59*0.15+L59*0.15+M59*0.2+N59*0.25+O59*0.25</f>
        <v>3.95</v>
      </c>
      <c r="V59" s="34" t="str">
        <f aca="false">IF(AND(T59&gt;=3,U59&lt;3),"Quick Win",IF(AND(T59&gt;=3,U59&gt;=3),"Big Bet",IF(AND(T59&lt;3,U59&lt;3),"Fill In","Money Pit")))</f>
        <v>Big Bet</v>
      </c>
    </row>
    <row r="60" customFormat="false" ht="27.75" hidden="false" customHeight="true" outlineLevel="0" collapsed="false">
      <c r="A60" s="25" t="s">
        <v>240</v>
      </c>
      <c r="B60" s="25" t="s">
        <v>235</v>
      </c>
      <c r="C60" s="25" t="s">
        <v>181</v>
      </c>
      <c r="D60" s="30" t="s">
        <v>60</v>
      </c>
      <c r="E60" s="30" t="n">
        <v>4</v>
      </c>
      <c r="F60" s="30" t="n">
        <v>2</v>
      </c>
      <c r="G60" s="30" t="n">
        <v>5</v>
      </c>
      <c r="H60" s="30" t="n">
        <v>4</v>
      </c>
      <c r="I60" s="30" t="n">
        <v>5</v>
      </c>
      <c r="J60" s="30" t="n">
        <v>4</v>
      </c>
      <c r="K60" s="30" t="n">
        <v>3</v>
      </c>
      <c r="L60" s="30" t="n">
        <v>4</v>
      </c>
      <c r="M60" s="30" t="n">
        <v>2</v>
      </c>
      <c r="N60" s="30" t="n">
        <v>5</v>
      </c>
      <c r="O60" s="30" t="n">
        <v>5</v>
      </c>
      <c r="P60" s="30" t="s">
        <v>51</v>
      </c>
      <c r="Q60" s="35" t="n">
        <f aca="false">E60*0.35+F60*0.15+G60*0.15+H60*0.1+I60*0.15+J60*0.1</f>
        <v>4</v>
      </c>
      <c r="R60" s="36" t="n">
        <f aca="false">VLOOKUP(D60,Configuração!$B$32:$D$50,3,FALSE())</f>
        <v>1</v>
      </c>
      <c r="S60" s="36" t="n">
        <f aca="false">IF(P60="Baixa",1.5,1)</f>
        <v>1</v>
      </c>
      <c r="T60" s="37" t="n">
        <f aca="false">Q60*R60/S60</f>
        <v>4</v>
      </c>
      <c r="U60" s="37" t="n">
        <f aca="false">K60*0.15+L60*0.15+M60*0.2+N60*0.25+O60*0.25</f>
        <v>3.95</v>
      </c>
      <c r="V60" s="38" t="str">
        <f aca="false">IF(AND(T60&gt;=3,U60&lt;3),"Quick Win",IF(AND(T60&gt;=3,U60&gt;=3),"Big Bet",IF(AND(T60&lt;3,U60&lt;3),"Fill In","Money Pit")))</f>
        <v>Big Bet</v>
      </c>
    </row>
    <row r="61" customFormat="false" ht="27.75" hidden="false" customHeight="true" outlineLevel="0" collapsed="false">
      <c r="A61" s="9" t="s">
        <v>241</v>
      </c>
      <c r="B61" s="9" t="s">
        <v>235</v>
      </c>
      <c r="C61" s="9" t="s">
        <v>181</v>
      </c>
      <c r="D61" s="30" t="s">
        <v>60</v>
      </c>
      <c r="E61" s="30" t="n">
        <v>4</v>
      </c>
      <c r="F61" s="30" t="n">
        <v>2</v>
      </c>
      <c r="G61" s="30" t="n">
        <v>4</v>
      </c>
      <c r="H61" s="30" t="n">
        <v>3</v>
      </c>
      <c r="I61" s="30" t="n">
        <v>5</v>
      </c>
      <c r="J61" s="30" t="n">
        <v>4</v>
      </c>
      <c r="K61" s="30" t="n">
        <v>3</v>
      </c>
      <c r="L61" s="30" t="n">
        <v>2</v>
      </c>
      <c r="M61" s="30" t="n">
        <v>2</v>
      </c>
      <c r="N61" s="30" t="n">
        <v>4</v>
      </c>
      <c r="O61" s="30" t="n">
        <v>4</v>
      </c>
      <c r="P61" s="30" t="s">
        <v>51</v>
      </c>
      <c r="Q61" s="31" t="n">
        <f aca="false">E61*0.35+F61*0.15+G61*0.15+H61*0.1+I61*0.15+J61*0.1</f>
        <v>3.75</v>
      </c>
      <c r="R61" s="32" t="n">
        <f aca="false">VLOOKUP(D61,Configuração!$B$32:$D$50,3,FALSE())</f>
        <v>1</v>
      </c>
      <c r="S61" s="32" t="n">
        <f aca="false">IF(P61="Baixa",1.5,1)</f>
        <v>1</v>
      </c>
      <c r="T61" s="33" t="n">
        <f aca="false">Q61*R61/S61</f>
        <v>3.75</v>
      </c>
      <c r="U61" s="33" t="n">
        <f aca="false">K61*0.15+L61*0.15+M61*0.2+N61*0.25+O61*0.25</f>
        <v>3.15</v>
      </c>
      <c r="V61" s="34" t="str">
        <f aca="false">IF(AND(T61&gt;=3,U61&lt;3),"Quick Win",IF(AND(T61&gt;=3,U61&gt;=3),"Big Bet",IF(AND(T61&lt;3,U61&lt;3),"Fill In","Money Pit")))</f>
        <v>Big Bet</v>
      </c>
    </row>
    <row r="62" customFormat="false" ht="27.75" hidden="false" customHeight="true" outlineLevel="0" collapsed="false">
      <c r="A62" s="25" t="s">
        <v>242</v>
      </c>
      <c r="B62" s="25" t="s">
        <v>235</v>
      </c>
      <c r="C62" s="25" t="s">
        <v>169</v>
      </c>
      <c r="D62" s="30" t="s">
        <v>60</v>
      </c>
      <c r="E62" s="30" t="n">
        <v>4</v>
      </c>
      <c r="F62" s="30" t="n">
        <v>5</v>
      </c>
      <c r="G62" s="30" t="n">
        <v>5</v>
      </c>
      <c r="H62" s="30" t="n">
        <v>4</v>
      </c>
      <c r="I62" s="30" t="n">
        <v>3</v>
      </c>
      <c r="J62" s="30" t="n">
        <v>5</v>
      </c>
      <c r="K62" s="30" t="n">
        <v>3</v>
      </c>
      <c r="L62" s="30" t="n">
        <v>4</v>
      </c>
      <c r="M62" s="30" t="n">
        <v>2</v>
      </c>
      <c r="N62" s="30" t="n">
        <v>4</v>
      </c>
      <c r="O62" s="30" t="n">
        <v>5</v>
      </c>
      <c r="P62" s="30" t="s">
        <v>51</v>
      </c>
      <c r="Q62" s="35" t="n">
        <f aca="false">E62*0.35+F62*0.15+G62*0.15+H62*0.1+I62*0.15+J62*0.1</f>
        <v>4.25</v>
      </c>
      <c r="R62" s="36" t="n">
        <f aca="false">VLOOKUP(D62,Configuração!$B$32:$D$50,3,FALSE())</f>
        <v>1</v>
      </c>
      <c r="S62" s="36" t="n">
        <f aca="false">IF(P62="Baixa",1.5,1)</f>
        <v>1</v>
      </c>
      <c r="T62" s="37" t="n">
        <f aca="false">Q62*R62/S62</f>
        <v>4.25</v>
      </c>
      <c r="U62" s="37" t="n">
        <f aca="false">K62*0.15+L62*0.15+M62*0.2+N62*0.25+O62*0.25</f>
        <v>3.7</v>
      </c>
      <c r="V62" s="38" t="str">
        <f aca="false">IF(AND(T62&gt;=3,U62&lt;3),"Quick Win",IF(AND(T62&gt;=3,U62&gt;=3),"Big Bet",IF(AND(T62&lt;3,U62&lt;3),"Fill In","Money Pit")))</f>
        <v>Big Bet</v>
      </c>
    </row>
    <row r="63" customFormat="false" ht="27.75" hidden="false" customHeight="true" outlineLevel="0" collapsed="false">
      <c r="A63" s="9" t="s">
        <v>243</v>
      </c>
      <c r="B63" s="9" t="s">
        <v>235</v>
      </c>
      <c r="C63" s="9" t="s">
        <v>169</v>
      </c>
      <c r="D63" s="30" t="s">
        <v>84</v>
      </c>
      <c r="E63" s="30" t="n">
        <v>5</v>
      </c>
      <c r="F63" s="30" t="n">
        <v>5</v>
      </c>
      <c r="G63" s="30" t="n">
        <v>3</v>
      </c>
      <c r="H63" s="30" t="n">
        <v>4</v>
      </c>
      <c r="I63" s="30" t="n">
        <v>1</v>
      </c>
      <c r="J63" s="30" t="n">
        <v>5</v>
      </c>
      <c r="K63" s="30" t="n">
        <v>3</v>
      </c>
      <c r="L63" s="30" t="n">
        <v>2</v>
      </c>
      <c r="M63" s="30" t="n">
        <v>2</v>
      </c>
      <c r="N63" s="30" t="n">
        <v>4</v>
      </c>
      <c r="O63" s="30" t="n">
        <v>2</v>
      </c>
      <c r="P63" s="30" t="s">
        <v>51</v>
      </c>
      <c r="Q63" s="31" t="n">
        <f aca="false">E63*0.35+F63*0.15+G63*0.15+H63*0.1+I63*0.15+J63*0.1</f>
        <v>4</v>
      </c>
      <c r="R63" s="32" t="n">
        <f aca="false">VLOOKUP(D63,Configuração!$B$32:$D$50,3,FALSE())</f>
        <v>1</v>
      </c>
      <c r="S63" s="32" t="n">
        <f aca="false">IF(P63="Baixa",1.5,1)</f>
        <v>1</v>
      </c>
      <c r="T63" s="33" t="n">
        <f aca="false">Q63*R63/S63</f>
        <v>4</v>
      </c>
      <c r="U63" s="33" t="n">
        <f aca="false">K63*0.15+L63*0.15+M63*0.2+N63*0.25+O63*0.25</f>
        <v>2.65</v>
      </c>
      <c r="V63" s="34" t="str">
        <f aca="false">IF(AND(T63&gt;=3,U63&lt;3),"Quick Win",IF(AND(T63&gt;=3,U63&gt;=3),"Big Bet",IF(AND(T63&lt;3,U63&lt;3),"Fill In","Money Pit")))</f>
        <v>Quick Win</v>
      </c>
    </row>
    <row r="64" customFormat="false" ht="27.75" hidden="false" customHeight="true" outlineLevel="0" collapsed="false">
      <c r="A64" s="25" t="s">
        <v>244</v>
      </c>
      <c r="B64" s="25" t="s">
        <v>235</v>
      </c>
      <c r="C64" s="25" t="s">
        <v>169</v>
      </c>
      <c r="D64" s="30" t="s">
        <v>90</v>
      </c>
      <c r="E64" s="30" t="n">
        <v>4</v>
      </c>
      <c r="F64" s="30" t="n">
        <v>2</v>
      </c>
      <c r="G64" s="30" t="n">
        <v>2</v>
      </c>
      <c r="H64" s="30" t="n">
        <v>4</v>
      </c>
      <c r="I64" s="30" t="n">
        <v>1</v>
      </c>
      <c r="J64" s="30" t="n">
        <v>2</v>
      </c>
      <c r="K64" s="30" t="n">
        <v>3</v>
      </c>
      <c r="L64" s="30" t="n">
        <v>2</v>
      </c>
      <c r="M64" s="30" t="n">
        <v>2</v>
      </c>
      <c r="N64" s="30" t="n">
        <v>4</v>
      </c>
      <c r="O64" s="30" t="n">
        <v>2</v>
      </c>
      <c r="P64" s="30" t="s">
        <v>51</v>
      </c>
      <c r="Q64" s="35" t="n">
        <f aca="false">E64*0.35+F64*0.15+G64*0.15+H64*0.1+I64*0.15+J64*0.1</f>
        <v>2.75</v>
      </c>
      <c r="R64" s="36" t="n">
        <f aca="false">VLOOKUP(D64,Configuração!$B$32:$D$50,3,FALSE())</f>
        <v>1</v>
      </c>
      <c r="S64" s="36" t="n">
        <f aca="false">IF(P64="Baixa",1.5,1)</f>
        <v>1</v>
      </c>
      <c r="T64" s="37" t="n">
        <f aca="false">Q64*R64/S64</f>
        <v>2.75</v>
      </c>
      <c r="U64" s="37" t="n">
        <f aca="false">K64*0.15+L64*0.15+M64*0.2+N64*0.25+O64*0.25</f>
        <v>2.65</v>
      </c>
      <c r="V64" s="38" t="str">
        <f aca="false">IF(AND(T64&gt;=3,U64&lt;3),"Quick Win",IF(AND(T64&gt;=3,U64&gt;=3),"Big Bet",IF(AND(T64&lt;3,U64&lt;3),"Fill In","Money Pit")))</f>
        <v>Fill In</v>
      </c>
    </row>
    <row r="65" customFormat="false" ht="27.75" hidden="false" customHeight="true" outlineLevel="0" collapsed="false">
      <c r="A65" s="9" t="s">
        <v>245</v>
      </c>
      <c r="B65" s="9" t="s">
        <v>235</v>
      </c>
      <c r="C65" s="9" t="s">
        <v>176</v>
      </c>
      <c r="D65" s="30" t="s">
        <v>60</v>
      </c>
      <c r="E65" s="30" t="n">
        <v>4</v>
      </c>
      <c r="F65" s="30" t="n">
        <v>5</v>
      </c>
      <c r="G65" s="30" t="n">
        <v>3</v>
      </c>
      <c r="H65" s="30" t="n">
        <v>4</v>
      </c>
      <c r="I65" s="30" t="n">
        <v>1</v>
      </c>
      <c r="J65" s="30" t="n">
        <v>5</v>
      </c>
      <c r="K65" s="30" t="n">
        <v>3</v>
      </c>
      <c r="L65" s="30" t="n">
        <v>2</v>
      </c>
      <c r="M65" s="30" t="n">
        <v>2</v>
      </c>
      <c r="N65" s="30" t="n">
        <v>3</v>
      </c>
      <c r="O65" s="30" t="n">
        <v>4</v>
      </c>
      <c r="P65" s="30" t="s">
        <v>51</v>
      </c>
      <c r="Q65" s="31" t="n">
        <f aca="false">E65*0.35+F65*0.15+G65*0.15+H65*0.1+I65*0.15+J65*0.1</f>
        <v>3.65</v>
      </c>
      <c r="R65" s="32" t="n">
        <f aca="false">VLOOKUP(D65,Configuração!$B$32:$D$50,3,FALSE())</f>
        <v>1</v>
      </c>
      <c r="S65" s="32" t="n">
        <f aca="false">IF(P65="Baixa",1.5,1)</f>
        <v>1</v>
      </c>
      <c r="T65" s="33" t="n">
        <f aca="false">Q65*R65/S65</f>
        <v>3.65</v>
      </c>
      <c r="U65" s="33" t="n">
        <f aca="false">K65*0.15+L65*0.15+M65*0.2+N65*0.25+O65*0.25</f>
        <v>2.9</v>
      </c>
      <c r="V65" s="34" t="str">
        <f aca="false">IF(AND(T65&gt;=3,U65&lt;3),"Quick Win",IF(AND(T65&gt;=3,U65&gt;=3),"Big Bet",IF(AND(T65&lt;3,U65&lt;3),"Fill In","Money Pit")))</f>
        <v>Quick Win</v>
      </c>
    </row>
    <row r="66" customFormat="false" ht="27.75" hidden="false" customHeight="true" outlineLevel="0" collapsed="false">
      <c r="A66" s="25" t="s">
        <v>246</v>
      </c>
      <c r="B66" s="25" t="s">
        <v>235</v>
      </c>
      <c r="C66" s="25" t="s">
        <v>169</v>
      </c>
      <c r="D66" s="30" t="s">
        <v>84</v>
      </c>
      <c r="E66" s="30" t="n">
        <v>5</v>
      </c>
      <c r="F66" s="30" t="n">
        <v>5</v>
      </c>
      <c r="G66" s="30" t="n">
        <v>2</v>
      </c>
      <c r="H66" s="30" t="n">
        <v>3</v>
      </c>
      <c r="I66" s="30" t="n">
        <v>1</v>
      </c>
      <c r="J66" s="30" t="n">
        <v>5</v>
      </c>
      <c r="K66" s="30" t="n">
        <v>3</v>
      </c>
      <c r="L66" s="30" t="n">
        <v>2</v>
      </c>
      <c r="M66" s="30" t="n">
        <v>2</v>
      </c>
      <c r="N66" s="30" t="n">
        <v>3</v>
      </c>
      <c r="O66" s="30" t="n">
        <v>4</v>
      </c>
      <c r="P66" s="30" t="s">
        <v>51</v>
      </c>
      <c r="Q66" s="35" t="n">
        <f aca="false">E66*0.35+F66*0.15+G66*0.15+H66*0.1+I66*0.15+J66*0.1</f>
        <v>3.75</v>
      </c>
      <c r="R66" s="36" t="n">
        <f aca="false">VLOOKUP(D66,Configuração!$B$32:$D$50,3,FALSE())</f>
        <v>1</v>
      </c>
      <c r="S66" s="36" t="n">
        <f aca="false">IF(P66="Baixa",1.5,1)</f>
        <v>1</v>
      </c>
      <c r="T66" s="37" t="n">
        <f aca="false">Q66*R66/S66</f>
        <v>3.75</v>
      </c>
      <c r="U66" s="37" t="n">
        <f aca="false">K66*0.15+L66*0.15+M66*0.2+N66*0.25+O66*0.25</f>
        <v>2.9</v>
      </c>
      <c r="V66" s="38" t="str">
        <f aca="false">IF(AND(T66&gt;=3,U66&lt;3),"Quick Win",IF(AND(T66&gt;=3,U66&gt;=3),"Big Bet",IF(AND(T66&lt;3,U66&lt;3),"Fill In","Money Pit")))</f>
        <v>Quick Win</v>
      </c>
    </row>
    <row r="67" customFormat="false" ht="27.75" hidden="false" customHeight="true" outlineLevel="0" collapsed="false">
      <c r="A67" s="9" t="s">
        <v>247</v>
      </c>
      <c r="B67" s="9" t="s">
        <v>235</v>
      </c>
      <c r="C67" s="9" t="s">
        <v>181</v>
      </c>
      <c r="D67" s="30" t="s">
        <v>90</v>
      </c>
      <c r="E67" s="30" t="n">
        <v>3</v>
      </c>
      <c r="F67" s="30" t="n">
        <v>2</v>
      </c>
      <c r="G67" s="30" t="n">
        <v>2</v>
      </c>
      <c r="H67" s="30" t="n">
        <v>3</v>
      </c>
      <c r="I67" s="30" t="n">
        <v>1</v>
      </c>
      <c r="J67" s="30" t="n">
        <v>5</v>
      </c>
      <c r="K67" s="30" t="n">
        <v>3</v>
      </c>
      <c r="L67" s="30" t="n">
        <v>2</v>
      </c>
      <c r="M67" s="30" t="n">
        <v>2</v>
      </c>
      <c r="N67" s="30" t="n">
        <v>3</v>
      </c>
      <c r="O67" s="30" t="n">
        <v>4</v>
      </c>
      <c r="P67" s="30" t="s">
        <v>51</v>
      </c>
      <c r="Q67" s="31" t="n">
        <f aca="false">E67*0.35+F67*0.15+G67*0.15+H67*0.1+I67*0.15+J67*0.1</f>
        <v>2.6</v>
      </c>
      <c r="R67" s="32" t="n">
        <f aca="false">VLOOKUP(D67,Configuração!$B$32:$D$50,3,FALSE())</f>
        <v>1</v>
      </c>
      <c r="S67" s="32" t="n">
        <f aca="false">IF(P67="Baixa",1.5,1)</f>
        <v>1</v>
      </c>
      <c r="T67" s="33" t="n">
        <f aca="false">Q67*R67/S67</f>
        <v>2.6</v>
      </c>
      <c r="U67" s="33" t="n">
        <f aca="false">K67*0.15+L67*0.15+M67*0.2+N67*0.25+O67*0.25</f>
        <v>2.9</v>
      </c>
      <c r="V67" s="34" t="str">
        <f aca="false">IF(AND(T67&gt;=3,U67&lt;3),"Quick Win",IF(AND(T67&gt;=3,U67&gt;=3),"Big Bet",IF(AND(T67&lt;3,U67&lt;3),"Fill In","Money Pit")))</f>
        <v>Fill In</v>
      </c>
    </row>
    <row r="68" customFormat="false" ht="27.75" hidden="false" customHeight="true" outlineLevel="0" collapsed="false">
      <c r="A68" s="25" t="s">
        <v>248</v>
      </c>
      <c r="B68" s="25" t="s">
        <v>235</v>
      </c>
      <c r="C68" s="25" t="s">
        <v>169</v>
      </c>
      <c r="D68" s="30" t="s">
        <v>90</v>
      </c>
      <c r="E68" s="30" t="n">
        <v>3</v>
      </c>
      <c r="F68" s="30" t="n">
        <v>5</v>
      </c>
      <c r="G68" s="30" t="n">
        <v>2</v>
      </c>
      <c r="H68" s="30" t="n">
        <v>3</v>
      </c>
      <c r="I68" s="30" t="n">
        <v>1</v>
      </c>
      <c r="J68" s="30" t="n">
        <v>5</v>
      </c>
      <c r="K68" s="30" t="n">
        <v>3</v>
      </c>
      <c r="L68" s="30" t="n">
        <v>2</v>
      </c>
      <c r="M68" s="30" t="n">
        <v>2</v>
      </c>
      <c r="N68" s="30" t="n">
        <v>3</v>
      </c>
      <c r="O68" s="30" t="n">
        <v>2</v>
      </c>
      <c r="P68" s="30" t="s">
        <v>51</v>
      </c>
      <c r="Q68" s="35" t="n">
        <f aca="false">E68*0.35+F68*0.15+G68*0.15+H68*0.1+I68*0.15+J68*0.1</f>
        <v>3.05</v>
      </c>
      <c r="R68" s="36" t="n">
        <f aca="false">VLOOKUP(D68,Configuração!$B$32:$D$50,3,FALSE())</f>
        <v>1</v>
      </c>
      <c r="S68" s="36" t="n">
        <f aca="false">IF(P68="Baixa",1.5,1)</f>
        <v>1</v>
      </c>
      <c r="T68" s="37" t="n">
        <f aca="false">Q68*R68/S68</f>
        <v>3.05</v>
      </c>
      <c r="U68" s="37" t="n">
        <f aca="false">K68*0.15+L68*0.15+M68*0.2+N68*0.25+O68*0.25</f>
        <v>2.4</v>
      </c>
      <c r="V68" s="38" t="str">
        <f aca="false">IF(AND(T68&gt;=3,U68&lt;3),"Quick Win",IF(AND(T68&gt;=3,U68&gt;=3),"Big Bet",IF(AND(T68&lt;3,U68&lt;3),"Fill In","Money Pit")))</f>
        <v>Quick Win</v>
      </c>
    </row>
    <row r="69" customFormat="false" ht="27.75" hidden="false" customHeight="true" outlineLevel="0" collapsed="false">
      <c r="A69" s="9" t="s">
        <v>249</v>
      </c>
      <c r="B69" s="9" t="s">
        <v>235</v>
      </c>
      <c r="C69" s="9" t="s">
        <v>196</v>
      </c>
      <c r="D69" s="30" t="s">
        <v>60</v>
      </c>
      <c r="E69" s="30" t="n">
        <v>4</v>
      </c>
      <c r="F69" s="30" t="n">
        <v>5</v>
      </c>
      <c r="G69" s="30" t="n">
        <v>5</v>
      </c>
      <c r="H69" s="30" t="n">
        <v>3</v>
      </c>
      <c r="I69" s="30" t="n">
        <v>1</v>
      </c>
      <c r="J69" s="30" t="n">
        <v>5</v>
      </c>
      <c r="K69" s="30" t="n">
        <v>3</v>
      </c>
      <c r="L69" s="30" t="n">
        <v>2</v>
      </c>
      <c r="M69" s="30" t="n">
        <v>2</v>
      </c>
      <c r="N69" s="30" t="n">
        <v>3</v>
      </c>
      <c r="O69" s="30" t="n">
        <v>4</v>
      </c>
      <c r="P69" s="30" t="s">
        <v>51</v>
      </c>
      <c r="Q69" s="31" t="n">
        <f aca="false">E69*0.35+F69*0.15+G69*0.15+H69*0.1+I69*0.15+J69*0.1</f>
        <v>3.85</v>
      </c>
      <c r="R69" s="32" t="n">
        <f aca="false">VLOOKUP(D69,Configuração!$B$32:$D$50,3,FALSE())</f>
        <v>1</v>
      </c>
      <c r="S69" s="32" t="n">
        <f aca="false">IF(P69="Baixa",1.5,1)</f>
        <v>1</v>
      </c>
      <c r="T69" s="33" t="n">
        <f aca="false">Q69*R69/S69</f>
        <v>3.85</v>
      </c>
      <c r="U69" s="33" t="n">
        <f aca="false">K69*0.15+L69*0.15+M69*0.2+N69*0.25+O69*0.25</f>
        <v>2.9</v>
      </c>
      <c r="V69" s="34" t="str">
        <f aca="false">IF(AND(T69&gt;=3,U69&lt;3),"Quick Win",IF(AND(T69&gt;=3,U69&gt;=3),"Big Bet",IF(AND(T69&lt;3,U69&lt;3),"Fill In","Money Pit")))</f>
        <v>Quick Win</v>
      </c>
    </row>
    <row r="70" customFormat="false" ht="27.75" hidden="false" customHeight="true" outlineLevel="0" collapsed="false">
      <c r="A70" s="25" t="s">
        <v>250</v>
      </c>
      <c r="B70" s="25" t="s">
        <v>235</v>
      </c>
      <c r="C70" s="25" t="s">
        <v>169</v>
      </c>
      <c r="D70" s="30" t="s">
        <v>84</v>
      </c>
      <c r="E70" s="30" t="n">
        <v>5</v>
      </c>
      <c r="F70" s="30" t="n">
        <v>5</v>
      </c>
      <c r="G70" s="30" t="n">
        <v>2</v>
      </c>
      <c r="H70" s="30" t="n">
        <v>4</v>
      </c>
      <c r="I70" s="30" t="n">
        <v>1</v>
      </c>
      <c r="J70" s="30" t="n">
        <v>5</v>
      </c>
      <c r="K70" s="30" t="n">
        <v>3</v>
      </c>
      <c r="L70" s="30" t="n">
        <v>2</v>
      </c>
      <c r="M70" s="30" t="n">
        <v>2</v>
      </c>
      <c r="N70" s="30" t="n">
        <v>4</v>
      </c>
      <c r="O70" s="30" t="n">
        <v>4</v>
      </c>
      <c r="P70" s="30" t="s">
        <v>51</v>
      </c>
      <c r="Q70" s="35" t="n">
        <f aca="false">E70*0.35+F70*0.15+G70*0.15+H70*0.1+I70*0.15+J70*0.1</f>
        <v>3.85</v>
      </c>
      <c r="R70" s="36" t="n">
        <f aca="false">VLOOKUP(D70,Configuração!$B$32:$D$50,3,FALSE())</f>
        <v>1</v>
      </c>
      <c r="S70" s="36" t="n">
        <f aca="false">IF(P70="Baixa",1.5,1)</f>
        <v>1</v>
      </c>
      <c r="T70" s="37" t="n">
        <f aca="false">Q70*R70/S70</f>
        <v>3.85</v>
      </c>
      <c r="U70" s="37" t="n">
        <f aca="false">K70*0.15+L70*0.15+M70*0.2+N70*0.25+O70*0.25</f>
        <v>3.15</v>
      </c>
      <c r="V70" s="38" t="str">
        <f aca="false">IF(AND(T70&gt;=3,U70&lt;3),"Quick Win",IF(AND(T70&gt;=3,U70&gt;=3),"Big Bet",IF(AND(T70&lt;3,U70&lt;3),"Fill In","Money Pit")))</f>
        <v>Big Bet</v>
      </c>
    </row>
    <row r="71" customFormat="false" ht="27.75" hidden="false" customHeight="true" outlineLevel="0" collapsed="false">
      <c r="A71" s="9" t="s">
        <v>251</v>
      </c>
      <c r="B71" s="9" t="s">
        <v>235</v>
      </c>
      <c r="C71" s="9" t="s">
        <v>181</v>
      </c>
      <c r="D71" s="30" t="s">
        <v>70</v>
      </c>
      <c r="E71" s="30" t="n">
        <v>4</v>
      </c>
      <c r="F71" s="30" t="n">
        <v>5</v>
      </c>
      <c r="G71" s="30" t="n">
        <v>2</v>
      </c>
      <c r="H71" s="30" t="n">
        <v>4</v>
      </c>
      <c r="I71" s="30" t="n">
        <v>1</v>
      </c>
      <c r="J71" s="30" t="n">
        <v>5</v>
      </c>
      <c r="K71" s="30" t="n">
        <v>3</v>
      </c>
      <c r="L71" s="30" t="n">
        <v>2</v>
      </c>
      <c r="M71" s="30" t="n">
        <v>2</v>
      </c>
      <c r="N71" s="30" t="n">
        <v>4</v>
      </c>
      <c r="O71" s="30" t="n">
        <v>5</v>
      </c>
      <c r="P71" s="30" t="s">
        <v>51</v>
      </c>
      <c r="Q71" s="31" t="n">
        <f aca="false">E71*0.35+F71*0.15+G71*0.15+H71*0.1+I71*0.15+J71*0.1</f>
        <v>3.5</v>
      </c>
      <c r="R71" s="32" t="n">
        <f aca="false">VLOOKUP(D71,Configuração!$B$32:$D$50,3,FALSE())</f>
        <v>1</v>
      </c>
      <c r="S71" s="32" t="n">
        <f aca="false">IF(P71="Baixa",1.5,1)</f>
        <v>1</v>
      </c>
      <c r="T71" s="33" t="n">
        <f aca="false">Q71*R71/S71</f>
        <v>3.5</v>
      </c>
      <c r="U71" s="33" t="n">
        <f aca="false">K71*0.15+L71*0.15+M71*0.2+N71*0.25+O71*0.25</f>
        <v>3.4</v>
      </c>
      <c r="V71" s="34" t="str">
        <f aca="false">IF(AND(T71&gt;=3,U71&lt;3),"Quick Win",IF(AND(T71&gt;=3,U71&gt;=3),"Big Bet",IF(AND(T71&lt;3,U71&lt;3),"Fill In","Money Pit")))</f>
        <v>Big Bet</v>
      </c>
    </row>
    <row r="72" customFormat="false" ht="27.75" hidden="false" customHeight="true" outlineLevel="0" collapsed="false">
      <c r="A72" s="25" t="s">
        <v>252</v>
      </c>
      <c r="B72" s="25" t="s">
        <v>235</v>
      </c>
      <c r="C72" s="25" t="s">
        <v>181</v>
      </c>
      <c r="D72" s="30" t="s">
        <v>60</v>
      </c>
      <c r="E72" s="30" t="n">
        <v>4</v>
      </c>
      <c r="F72" s="30" t="n">
        <v>5</v>
      </c>
      <c r="G72" s="30" t="n">
        <v>4</v>
      </c>
      <c r="H72" s="30" t="n">
        <v>3</v>
      </c>
      <c r="I72" s="30" t="n">
        <v>1</v>
      </c>
      <c r="J72" s="30" t="n">
        <v>5</v>
      </c>
      <c r="K72" s="30" t="n">
        <v>3</v>
      </c>
      <c r="L72" s="30" t="n">
        <v>2</v>
      </c>
      <c r="M72" s="30" t="n">
        <v>2</v>
      </c>
      <c r="N72" s="30" t="n">
        <v>3</v>
      </c>
      <c r="O72" s="30" t="n">
        <v>4</v>
      </c>
      <c r="P72" s="30" t="s">
        <v>51</v>
      </c>
      <c r="Q72" s="35" t="n">
        <f aca="false">E72*0.35+F72*0.15+G72*0.15+H72*0.1+I72*0.15+J72*0.1</f>
        <v>3.7</v>
      </c>
      <c r="R72" s="36" t="n">
        <f aca="false">VLOOKUP(D72,Configuração!$B$32:$D$50,3,FALSE())</f>
        <v>1</v>
      </c>
      <c r="S72" s="36" t="n">
        <f aca="false">IF(P72="Baixa",1.5,1)</f>
        <v>1</v>
      </c>
      <c r="T72" s="37" t="n">
        <f aca="false">Q72*R72/S72</f>
        <v>3.7</v>
      </c>
      <c r="U72" s="37" t="n">
        <f aca="false">K72*0.15+L72*0.15+M72*0.2+N72*0.25+O72*0.25</f>
        <v>2.9</v>
      </c>
      <c r="V72" s="38" t="str">
        <f aca="false">IF(AND(T72&gt;=3,U72&lt;3),"Quick Win",IF(AND(T72&gt;=3,U72&gt;=3),"Big Bet",IF(AND(T72&lt;3,U72&lt;3),"Fill In","Money Pit")))</f>
        <v>Quick Win</v>
      </c>
    </row>
    <row r="73" customFormat="false" ht="27.75" hidden="false" customHeight="true" outlineLevel="0" collapsed="false">
      <c r="A73" s="9" t="s">
        <v>253</v>
      </c>
      <c r="B73" s="9" t="s">
        <v>254</v>
      </c>
      <c r="C73" s="9" t="s">
        <v>196</v>
      </c>
      <c r="D73" s="30" t="s">
        <v>60</v>
      </c>
      <c r="E73" s="30" t="n">
        <v>4</v>
      </c>
      <c r="F73" s="30" t="n">
        <v>2</v>
      </c>
      <c r="G73" s="30" t="n">
        <v>4</v>
      </c>
      <c r="H73" s="30" t="n">
        <v>3</v>
      </c>
      <c r="I73" s="30" t="n">
        <v>5</v>
      </c>
      <c r="J73" s="30" t="n">
        <v>4</v>
      </c>
      <c r="K73" s="30" t="n">
        <v>3</v>
      </c>
      <c r="L73" s="30" t="n">
        <v>2</v>
      </c>
      <c r="M73" s="30" t="n">
        <v>2</v>
      </c>
      <c r="N73" s="30" t="n">
        <v>4</v>
      </c>
      <c r="O73" s="30" t="n">
        <v>4</v>
      </c>
      <c r="P73" s="30" t="s">
        <v>51</v>
      </c>
      <c r="Q73" s="31" t="n">
        <f aca="false">E73*0.35+F73*0.15+G73*0.15+H73*0.1+I73*0.15+J73*0.1</f>
        <v>3.75</v>
      </c>
      <c r="R73" s="32" t="n">
        <f aca="false">VLOOKUP(D73,Configuração!$B$32:$D$50,3,FALSE())</f>
        <v>1</v>
      </c>
      <c r="S73" s="32" t="n">
        <f aca="false">IF(P73="Baixa",1.5,1)</f>
        <v>1</v>
      </c>
      <c r="T73" s="33" t="n">
        <f aca="false">Q73*R73/S73</f>
        <v>3.75</v>
      </c>
      <c r="U73" s="33" t="n">
        <f aca="false">K73*0.15+L73*0.15+M73*0.2+N73*0.25+O73*0.25</f>
        <v>3.15</v>
      </c>
      <c r="V73" s="34" t="str">
        <f aca="false">IF(AND(T73&gt;=3,U73&lt;3),"Quick Win",IF(AND(T73&gt;=3,U73&gt;=3),"Big Bet",IF(AND(T73&lt;3,U73&lt;3),"Fill In","Money Pit")))</f>
        <v>Big Bet</v>
      </c>
    </row>
    <row r="74" customFormat="false" ht="27.75" hidden="false" customHeight="true" outlineLevel="0" collapsed="false">
      <c r="A74" s="25" t="s">
        <v>255</v>
      </c>
      <c r="B74" s="25" t="s">
        <v>254</v>
      </c>
      <c r="C74" s="25" t="s">
        <v>196</v>
      </c>
      <c r="D74" s="30" t="s">
        <v>88</v>
      </c>
      <c r="E74" s="30" t="n">
        <v>4</v>
      </c>
      <c r="F74" s="30" t="n">
        <v>2</v>
      </c>
      <c r="G74" s="30" t="n">
        <v>2</v>
      </c>
      <c r="H74" s="30" t="n">
        <v>4</v>
      </c>
      <c r="I74" s="30" t="n">
        <v>1</v>
      </c>
      <c r="J74" s="30" t="n">
        <v>4</v>
      </c>
      <c r="K74" s="30" t="n">
        <v>3</v>
      </c>
      <c r="L74" s="30" t="n">
        <v>4</v>
      </c>
      <c r="M74" s="30" t="n">
        <v>2</v>
      </c>
      <c r="N74" s="30" t="n">
        <v>3</v>
      </c>
      <c r="O74" s="30" t="n">
        <v>4</v>
      </c>
      <c r="P74" s="30" t="s">
        <v>51</v>
      </c>
      <c r="Q74" s="35" t="n">
        <f aca="false">E74*0.35+F74*0.15+G74*0.15+H74*0.1+I74*0.15+J74*0.1</f>
        <v>2.95</v>
      </c>
      <c r="R74" s="36" t="n">
        <f aca="false">VLOOKUP(D74,Configuração!$B$32:$D$50,3,FALSE())</f>
        <v>1</v>
      </c>
      <c r="S74" s="36" t="n">
        <f aca="false">IF(P74="Baixa",1.5,1)</f>
        <v>1</v>
      </c>
      <c r="T74" s="37" t="n">
        <f aca="false">Q74*R74/S74</f>
        <v>2.95</v>
      </c>
      <c r="U74" s="37" t="n">
        <f aca="false">K74*0.15+L74*0.15+M74*0.2+N74*0.25+O74*0.25</f>
        <v>3.2</v>
      </c>
      <c r="V74" s="38" t="str">
        <f aca="false">IF(AND(T74&gt;=3,U74&lt;3),"Quick Win",IF(AND(T74&gt;=3,U74&gt;=3),"Big Bet",IF(AND(T74&lt;3,U74&lt;3),"Fill In","Money Pit")))</f>
        <v>Money Pit</v>
      </c>
    </row>
    <row r="75" customFormat="false" ht="27.75" hidden="false" customHeight="true" outlineLevel="0" collapsed="false">
      <c r="A75" s="9" t="s">
        <v>256</v>
      </c>
      <c r="B75" s="9" t="s">
        <v>254</v>
      </c>
      <c r="C75" s="9" t="s">
        <v>196</v>
      </c>
      <c r="D75" s="30" t="s">
        <v>88</v>
      </c>
      <c r="E75" s="30" t="n">
        <v>4</v>
      </c>
      <c r="F75" s="30" t="n">
        <v>2</v>
      </c>
      <c r="G75" s="30" t="n">
        <v>2</v>
      </c>
      <c r="H75" s="30" t="n">
        <v>3</v>
      </c>
      <c r="I75" s="30" t="n">
        <v>1</v>
      </c>
      <c r="J75" s="30" t="n">
        <v>2</v>
      </c>
      <c r="K75" s="30" t="n">
        <v>3</v>
      </c>
      <c r="L75" s="30" t="n">
        <v>4</v>
      </c>
      <c r="M75" s="30" t="n">
        <v>2</v>
      </c>
      <c r="N75" s="30" t="n">
        <v>3</v>
      </c>
      <c r="O75" s="30" t="n">
        <v>2</v>
      </c>
      <c r="P75" s="30" t="s">
        <v>51</v>
      </c>
      <c r="Q75" s="31" t="n">
        <f aca="false">E75*0.35+F75*0.15+G75*0.15+H75*0.1+I75*0.15+J75*0.1</f>
        <v>2.65</v>
      </c>
      <c r="R75" s="32" t="n">
        <f aca="false">VLOOKUP(D75,Configuração!$B$32:$D$50,3,FALSE())</f>
        <v>1</v>
      </c>
      <c r="S75" s="32" t="n">
        <f aca="false">IF(P75="Baixa",1.5,1)</f>
        <v>1</v>
      </c>
      <c r="T75" s="33" t="n">
        <f aca="false">Q75*R75/S75</f>
        <v>2.65</v>
      </c>
      <c r="U75" s="33" t="n">
        <f aca="false">K75*0.15+L75*0.15+M75*0.2+N75*0.25+O75*0.25</f>
        <v>2.7</v>
      </c>
      <c r="V75" s="34" t="str">
        <f aca="false">IF(AND(T75&gt;=3,U75&lt;3),"Quick Win",IF(AND(T75&gt;=3,U75&gt;=3),"Big Bet",IF(AND(T75&lt;3,U75&lt;3),"Fill In","Money Pit")))</f>
        <v>Fill In</v>
      </c>
    </row>
    <row r="76" customFormat="false" ht="27.75" hidden="false" customHeight="true" outlineLevel="0" collapsed="false">
      <c r="A76" s="25" t="s">
        <v>255</v>
      </c>
      <c r="B76" s="25" t="s">
        <v>254</v>
      </c>
      <c r="C76" s="25" t="s">
        <v>181</v>
      </c>
      <c r="D76" s="30" t="s">
        <v>88</v>
      </c>
      <c r="E76" s="30" t="n">
        <v>4</v>
      </c>
      <c r="F76" s="30" t="n">
        <v>2</v>
      </c>
      <c r="G76" s="30" t="n">
        <v>2</v>
      </c>
      <c r="H76" s="30" t="n">
        <v>4</v>
      </c>
      <c r="I76" s="30" t="n">
        <v>1</v>
      </c>
      <c r="J76" s="30" t="n">
        <v>4</v>
      </c>
      <c r="K76" s="30" t="n">
        <v>3</v>
      </c>
      <c r="L76" s="30" t="n">
        <v>4</v>
      </c>
      <c r="M76" s="30" t="n">
        <v>2</v>
      </c>
      <c r="N76" s="30" t="n">
        <v>3</v>
      </c>
      <c r="O76" s="30" t="n">
        <v>4</v>
      </c>
      <c r="P76" s="30" t="s">
        <v>51</v>
      </c>
      <c r="Q76" s="35" t="n">
        <f aca="false">E76*0.35+F76*0.15+G76*0.15+H76*0.1+I76*0.15+J76*0.1</f>
        <v>2.95</v>
      </c>
      <c r="R76" s="36" t="n">
        <f aca="false">VLOOKUP(D76,Configuração!$B$32:$D$50,3,FALSE())</f>
        <v>1</v>
      </c>
      <c r="S76" s="36" t="n">
        <f aca="false">IF(P76="Baixa",1.5,1)</f>
        <v>1</v>
      </c>
      <c r="T76" s="37" t="n">
        <f aca="false">Q76*R76/S76</f>
        <v>2.95</v>
      </c>
      <c r="U76" s="37" t="n">
        <f aca="false">K76*0.15+L76*0.15+M76*0.2+N76*0.25+O76*0.25</f>
        <v>3.2</v>
      </c>
      <c r="V76" s="38" t="str">
        <f aca="false">IF(AND(T76&gt;=3,U76&lt;3),"Quick Win",IF(AND(T76&gt;=3,U76&gt;=3),"Big Bet",IF(AND(T76&lt;3,U76&lt;3),"Fill In","Money Pit")))</f>
        <v>Money Pit</v>
      </c>
    </row>
    <row r="77" customFormat="false" ht="27.75" hidden="false" customHeight="true" outlineLevel="0" collapsed="false">
      <c r="A77" s="9" t="s">
        <v>257</v>
      </c>
      <c r="B77" s="9" t="s">
        <v>254</v>
      </c>
      <c r="C77" s="9" t="s">
        <v>181</v>
      </c>
      <c r="D77" s="30" t="s">
        <v>88</v>
      </c>
      <c r="E77" s="30" t="n">
        <v>4</v>
      </c>
      <c r="F77" s="30" t="n">
        <v>5</v>
      </c>
      <c r="G77" s="30" t="n">
        <v>2</v>
      </c>
      <c r="H77" s="30" t="n">
        <v>4</v>
      </c>
      <c r="I77" s="30" t="n">
        <v>1</v>
      </c>
      <c r="J77" s="30" t="n">
        <v>5</v>
      </c>
      <c r="K77" s="30" t="n">
        <v>3</v>
      </c>
      <c r="L77" s="30" t="n">
        <v>4</v>
      </c>
      <c r="M77" s="30" t="n">
        <v>2</v>
      </c>
      <c r="N77" s="30" t="n">
        <v>5</v>
      </c>
      <c r="O77" s="30" t="n">
        <v>4</v>
      </c>
      <c r="P77" s="30" t="s">
        <v>51</v>
      </c>
      <c r="Q77" s="31" t="n">
        <f aca="false">E77*0.35+F77*0.15+G77*0.15+H77*0.1+I77*0.15+J77*0.1</f>
        <v>3.5</v>
      </c>
      <c r="R77" s="32" t="n">
        <f aca="false">VLOOKUP(D77,Configuração!$B$32:$D$50,3,FALSE())</f>
        <v>1</v>
      </c>
      <c r="S77" s="32" t="n">
        <f aca="false">IF(P77="Baixa",1.5,1)</f>
        <v>1</v>
      </c>
      <c r="T77" s="33" t="n">
        <f aca="false">Q77*R77/S77</f>
        <v>3.5</v>
      </c>
      <c r="U77" s="33" t="n">
        <f aca="false">K77*0.15+L77*0.15+M77*0.2+N77*0.25+O77*0.25</f>
        <v>3.7</v>
      </c>
      <c r="V77" s="34" t="str">
        <f aca="false">IF(AND(T77&gt;=3,U77&lt;3),"Quick Win",IF(AND(T77&gt;=3,U77&gt;=3),"Big Bet",IF(AND(T77&lt;3,U77&lt;3),"Fill In","Money Pit")))</f>
        <v>Big Bet</v>
      </c>
    </row>
    <row r="78" customFormat="false" ht="27.75" hidden="false" customHeight="true" outlineLevel="0" collapsed="false">
      <c r="A78" s="25" t="s">
        <v>258</v>
      </c>
      <c r="B78" s="25" t="s">
        <v>254</v>
      </c>
      <c r="C78" s="25" t="s">
        <v>181</v>
      </c>
      <c r="D78" s="30" t="s">
        <v>84</v>
      </c>
      <c r="E78" s="30" t="n">
        <v>5</v>
      </c>
      <c r="F78" s="30" t="n">
        <v>2</v>
      </c>
      <c r="G78" s="30" t="n">
        <v>2</v>
      </c>
      <c r="H78" s="30" t="n">
        <v>3</v>
      </c>
      <c r="I78" s="30" t="n">
        <v>1</v>
      </c>
      <c r="J78" s="30" t="n">
        <v>2</v>
      </c>
      <c r="K78" s="30" t="n">
        <v>3</v>
      </c>
      <c r="L78" s="30" t="n">
        <v>4</v>
      </c>
      <c r="M78" s="30" t="n">
        <v>2</v>
      </c>
      <c r="N78" s="30" t="n">
        <v>3</v>
      </c>
      <c r="O78" s="30" t="n">
        <v>2</v>
      </c>
      <c r="P78" s="30" t="s">
        <v>51</v>
      </c>
      <c r="Q78" s="35" t="n">
        <f aca="false">E78*0.35+F78*0.15+G78*0.15+H78*0.1+I78*0.15+J78*0.1</f>
        <v>3</v>
      </c>
      <c r="R78" s="36" t="n">
        <f aca="false">VLOOKUP(D78,Configuração!$B$32:$D$50,3,FALSE())</f>
        <v>1</v>
      </c>
      <c r="S78" s="36" t="n">
        <f aca="false">IF(P78="Baixa",1.5,1)</f>
        <v>1</v>
      </c>
      <c r="T78" s="37" t="n">
        <f aca="false">Q78*R78/S78</f>
        <v>3</v>
      </c>
      <c r="U78" s="37" t="n">
        <f aca="false">K78*0.15+L78*0.15+M78*0.2+N78*0.25+O78*0.25</f>
        <v>2.7</v>
      </c>
      <c r="V78" s="38" t="str">
        <f aca="false">IF(AND(T78&gt;=3,U78&lt;3),"Quick Win",IF(AND(T78&gt;=3,U78&gt;=3),"Big Bet",IF(AND(T78&lt;3,U78&lt;3),"Fill In","Money Pit")))</f>
        <v>Quick Win</v>
      </c>
    </row>
    <row r="79" customFormat="false" ht="27.75" hidden="false" customHeight="true" outlineLevel="0" collapsed="false">
      <c r="A79" s="9" t="s">
        <v>259</v>
      </c>
      <c r="B79" s="9" t="s">
        <v>254</v>
      </c>
      <c r="C79" s="9" t="s">
        <v>196</v>
      </c>
      <c r="D79" s="30" t="s">
        <v>88</v>
      </c>
      <c r="E79" s="30" t="n">
        <v>4</v>
      </c>
      <c r="F79" s="30" t="n">
        <v>2</v>
      </c>
      <c r="G79" s="30" t="n">
        <v>2</v>
      </c>
      <c r="H79" s="30" t="n">
        <v>3</v>
      </c>
      <c r="I79" s="30" t="n">
        <v>1</v>
      </c>
      <c r="J79" s="30" t="n">
        <v>2</v>
      </c>
      <c r="K79" s="30" t="n">
        <v>3</v>
      </c>
      <c r="L79" s="30" t="n">
        <v>4</v>
      </c>
      <c r="M79" s="30" t="n">
        <v>2</v>
      </c>
      <c r="N79" s="30" t="n">
        <v>3</v>
      </c>
      <c r="O79" s="30" t="n">
        <v>2</v>
      </c>
      <c r="P79" s="30" t="s">
        <v>51</v>
      </c>
      <c r="Q79" s="31" t="n">
        <f aca="false">E79*0.35+F79*0.15+G79*0.15+H79*0.1+I79*0.15+J79*0.1</f>
        <v>2.65</v>
      </c>
      <c r="R79" s="32" t="n">
        <f aca="false">VLOOKUP(D79,Configuração!$B$32:$D$50,3,FALSE())</f>
        <v>1</v>
      </c>
      <c r="S79" s="32" t="n">
        <f aca="false">IF(P79="Baixa",1.5,1)</f>
        <v>1</v>
      </c>
      <c r="T79" s="33" t="n">
        <f aca="false">Q79*R79/S79</f>
        <v>2.65</v>
      </c>
      <c r="U79" s="33" t="n">
        <f aca="false">K79*0.15+L79*0.15+M79*0.2+N79*0.25+O79*0.25</f>
        <v>2.7</v>
      </c>
      <c r="V79" s="34" t="str">
        <f aca="false">IF(AND(T79&gt;=3,U79&lt;3),"Quick Win",IF(AND(T79&gt;=3,U79&gt;=3),"Big Bet",IF(AND(T79&lt;3,U79&lt;3),"Fill In","Money Pit")))</f>
        <v>Fill In</v>
      </c>
    </row>
    <row r="80" customFormat="false" ht="27.75" hidden="false" customHeight="true" outlineLevel="0" collapsed="false">
      <c r="A80" s="25" t="s">
        <v>260</v>
      </c>
      <c r="B80" s="25" t="s">
        <v>254</v>
      </c>
      <c r="C80" s="25" t="s">
        <v>261</v>
      </c>
      <c r="D80" s="30" t="s">
        <v>62</v>
      </c>
      <c r="E80" s="30" t="n">
        <v>4</v>
      </c>
      <c r="F80" s="30" t="n">
        <v>2</v>
      </c>
      <c r="G80" s="30" t="n">
        <v>2</v>
      </c>
      <c r="H80" s="30" t="n">
        <v>3</v>
      </c>
      <c r="I80" s="30" t="n">
        <v>5</v>
      </c>
      <c r="J80" s="30" t="n">
        <v>2</v>
      </c>
      <c r="K80" s="30" t="n">
        <v>3</v>
      </c>
      <c r="L80" s="30" t="n">
        <v>2</v>
      </c>
      <c r="M80" s="30" t="n">
        <v>2</v>
      </c>
      <c r="N80" s="30" t="n">
        <v>3</v>
      </c>
      <c r="O80" s="30" t="n">
        <v>2</v>
      </c>
      <c r="P80" s="30" t="s">
        <v>51</v>
      </c>
      <c r="Q80" s="35" t="n">
        <f aca="false">E80*0.35+F80*0.15+G80*0.15+H80*0.1+I80*0.15+J80*0.1</f>
        <v>3.25</v>
      </c>
      <c r="R80" s="36" t="n">
        <f aca="false">VLOOKUP(D80,Configuração!$B$32:$D$50,3,FALSE())</f>
        <v>1</v>
      </c>
      <c r="S80" s="36" t="n">
        <f aca="false">IF(P80="Baixa",1.5,1)</f>
        <v>1</v>
      </c>
      <c r="T80" s="37" t="n">
        <f aca="false">Q80*R80/S80</f>
        <v>3.25</v>
      </c>
      <c r="U80" s="37" t="n">
        <f aca="false">K80*0.15+L80*0.15+M80*0.2+N80*0.25+O80*0.25</f>
        <v>2.4</v>
      </c>
      <c r="V80" s="38" t="str">
        <f aca="false">IF(AND(T80&gt;=3,U80&lt;3),"Quick Win",IF(AND(T80&gt;=3,U80&gt;=3),"Big Bet",IF(AND(T80&lt;3,U80&lt;3),"Fill In","Money Pit")))</f>
        <v>Quick Win</v>
      </c>
    </row>
    <row r="81" customFormat="false" ht="27.75" hidden="false" customHeight="true" outlineLevel="0" collapsed="false">
      <c r="A81" s="9" t="s">
        <v>262</v>
      </c>
      <c r="B81" s="9" t="s">
        <v>254</v>
      </c>
      <c r="C81" s="9" t="s">
        <v>181</v>
      </c>
      <c r="D81" s="30" t="s">
        <v>90</v>
      </c>
      <c r="E81" s="30" t="n">
        <v>3</v>
      </c>
      <c r="F81" s="30" t="n">
        <v>2</v>
      </c>
      <c r="G81" s="30" t="n">
        <v>2</v>
      </c>
      <c r="H81" s="30" t="n">
        <v>3</v>
      </c>
      <c r="I81" s="30" t="n">
        <v>1</v>
      </c>
      <c r="J81" s="30" t="n">
        <v>2</v>
      </c>
      <c r="K81" s="30" t="n">
        <v>3</v>
      </c>
      <c r="L81" s="30" t="n">
        <v>2</v>
      </c>
      <c r="M81" s="30" t="n">
        <v>2</v>
      </c>
      <c r="N81" s="30" t="n">
        <v>3</v>
      </c>
      <c r="O81" s="30" t="n">
        <v>2</v>
      </c>
      <c r="P81" s="30" t="s">
        <v>51</v>
      </c>
      <c r="Q81" s="31" t="n">
        <f aca="false">E81*0.35+F81*0.15+G81*0.15+H81*0.1+I81*0.15+J81*0.1</f>
        <v>2.3</v>
      </c>
      <c r="R81" s="32" t="n">
        <f aca="false">VLOOKUP(D81,Configuração!$B$32:$D$50,3,FALSE())</f>
        <v>1</v>
      </c>
      <c r="S81" s="32" t="n">
        <f aca="false">IF(P81="Baixa",1.5,1)</f>
        <v>1</v>
      </c>
      <c r="T81" s="33" t="n">
        <f aca="false">Q81*R81/S81</f>
        <v>2.3</v>
      </c>
      <c r="U81" s="33" t="n">
        <f aca="false">K81*0.15+L81*0.15+M81*0.2+N81*0.25+O81*0.25</f>
        <v>2.4</v>
      </c>
      <c r="V81" s="34" t="str">
        <f aca="false">IF(AND(T81&gt;=3,U81&lt;3),"Quick Win",IF(AND(T81&gt;=3,U81&gt;=3),"Big Bet",IF(AND(T81&lt;3,U81&lt;3),"Fill In","Money Pit")))</f>
        <v>Fill In</v>
      </c>
    </row>
  </sheetData>
  <autoFilter ref="A4:V81"/>
  <conditionalFormatting sqref="V5:V81">
    <cfRule type="cellIs" priority="2" operator="equal" aboveAverage="0" equalAverage="0" bottom="0" percent="0" rank="0" text="" dxfId="44">
      <formula>"Quick Win"</formula>
    </cfRule>
    <cfRule type="cellIs" priority="3" operator="equal" aboveAverage="0" equalAverage="0" bottom="0" percent="0" rank="0" text="" dxfId="45">
      <formula>"Big Bet"</formula>
    </cfRule>
    <cfRule type="cellIs" priority="4" operator="equal" aboveAverage="0" equalAverage="0" bottom="0" percent="0" rank="0" text="" dxfId="46">
      <formula>"Fill In"</formula>
    </cfRule>
    <cfRule type="cellIs" priority="5" operator="equal" aboveAverage="0" equalAverage="0" bottom="0" percent="0" rank="0" text="" dxfId="47">
      <formula>"Money Pit"</formula>
    </cfRule>
  </conditionalFormatting>
  <conditionalFormatting sqref="T5:T81">
    <cfRule type="colorScale" priority="6">
      <colorScale>
        <cfvo type="min" val="0"/>
        <cfvo type="num" val="3"/>
        <cfvo type="max" val="0"/>
        <color rgb="FFFFC7CE"/>
        <color rgb="FFFFFFFF"/>
        <color rgb="FFC6EFCE"/>
      </colorScale>
    </cfRule>
  </conditionalFormatting>
  <conditionalFormatting sqref="U5:U81">
    <cfRule type="colorScale" priority="7">
      <colorScale>
        <cfvo type="min" val="0"/>
        <cfvo type="num" val="3"/>
        <cfvo type="max" val="0"/>
        <color rgb="FFC6EFCE"/>
        <color rgb="FFFFFFFF"/>
        <color rgb="FFFFC7CE"/>
      </colorScale>
    </cfRule>
  </conditionalFormatting>
  <dataValidations count="3">
    <dataValidation allowBlank="false" errorStyle="stop" operator="between" showDropDown="false" showErrorMessage="false" showInputMessage="false" sqref="D5:D81" type="list">
      <formula1>"F1,F2,F3,M1,I1,I2,I3,C1,C2,C3,O1,O2,O3,O4,O5,O6,O7,H1,H2"</formula1>
      <formula2>0</formula2>
    </dataValidation>
    <dataValidation allowBlank="false" errorStyle="stop" operator="between" showDropDown="false" showErrorMessage="false" showInputMessage="false" sqref="E5:O81" type="list">
      <formula1>"1,2,3,4,5"</formula1>
      <formula2>0</formula2>
    </dataValidation>
    <dataValidation allowBlank="false" errorStyle="stop" operator="between" showDropDown="false" showErrorMessage="false" showInputMessage="false" sqref="P5:P8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80"/>
  </cols>
  <sheetData>
    <row r="2" customFormat="false" ht="27.75" hidden="false" customHeight="true" outlineLevel="0" collapsed="false">
      <c r="B2" s="6" t="s">
        <v>263</v>
      </c>
      <c r="C2" s="6"/>
      <c r="D2" s="6"/>
    </row>
    <row r="3" customFormat="false" ht="15" hidden="false" customHeight="false" outlineLevel="0" collapsed="false">
      <c r="B3" s="39" t="s">
        <v>264</v>
      </c>
      <c r="C3" s="39"/>
      <c r="D3" s="39"/>
    </row>
    <row r="5" customFormat="false" ht="27.75" hidden="false" customHeight="true" outlineLevel="0" collapsed="false">
      <c r="B5" s="24" t="s">
        <v>57</v>
      </c>
      <c r="C5" s="24" t="s">
        <v>265</v>
      </c>
      <c r="D5" s="24" t="s">
        <v>58</v>
      </c>
    </row>
    <row r="6" customFormat="false" ht="31.5" hidden="false" customHeight="true" outlineLevel="0" collapsed="false">
      <c r="B6" s="40" t="s">
        <v>60</v>
      </c>
      <c r="C6" s="41" t="s">
        <v>266</v>
      </c>
      <c r="D6" s="25" t="s">
        <v>61</v>
      </c>
    </row>
    <row r="7" customFormat="false" ht="31.5" hidden="false" customHeight="true" outlineLevel="0" collapsed="false">
      <c r="B7" s="40" t="s">
        <v>62</v>
      </c>
      <c r="C7" s="42" t="s">
        <v>266</v>
      </c>
      <c r="D7" s="9" t="s">
        <v>63</v>
      </c>
    </row>
    <row r="8" customFormat="false" ht="31.5" hidden="false" customHeight="true" outlineLevel="0" collapsed="false">
      <c r="B8" s="40" t="s">
        <v>64</v>
      </c>
      <c r="C8" s="41" t="s">
        <v>266</v>
      </c>
      <c r="D8" s="25" t="s">
        <v>65</v>
      </c>
    </row>
    <row r="9" customFormat="false" ht="31.5" hidden="false" customHeight="true" outlineLevel="0" collapsed="false">
      <c r="B9" s="43" t="s">
        <v>66</v>
      </c>
      <c r="C9" s="42" t="s">
        <v>267</v>
      </c>
      <c r="D9" s="9" t="s">
        <v>67</v>
      </c>
    </row>
    <row r="10" customFormat="false" ht="31.5" hidden="false" customHeight="true" outlineLevel="0" collapsed="false">
      <c r="B10" s="44" t="s">
        <v>68</v>
      </c>
      <c r="C10" s="41" t="s">
        <v>268</v>
      </c>
      <c r="D10" s="25" t="s">
        <v>69</v>
      </c>
    </row>
    <row r="11" customFormat="false" ht="31.5" hidden="false" customHeight="true" outlineLevel="0" collapsed="false">
      <c r="B11" s="44" t="s">
        <v>70</v>
      </c>
      <c r="C11" s="42" t="s">
        <v>268</v>
      </c>
      <c r="D11" s="9" t="s">
        <v>71</v>
      </c>
    </row>
    <row r="12" customFormat="false" ht="31.5" hidden="false" customHeight="true" outlineLevel="0" collapsed="false">
      <c r="B12" s="44" t="s">
        <v>72</v>
      </c>
      <c r="C12" s="41" t="s">
        <v>268</v>
      </c>
      <c r="D12" s="25" t="s">
        <v>73</v>
      </c>
    </row>
    <row r="13" customFormat="false" ht="31.5" hidden="false" customHeight="true" outlineLevel="0" collapsed="false">
      <c r="B13" s="45" t="s">
        <v>74</v>
      </c>
      <c r="C13" s="42" t="s">
        <v>32</v>
      </c>
      <c r="D13" s="9" t="s">
        <v>75</v>
      </c>
    </row>
    <row r="14" customFormat="false" ht="31.5" hidden="false" customHeight="true" outlineLevel="0" collapsed="false">
      <c r="B14" s="45" t="s">
        <v>76</v>
      </c>
      <c r="C14" s="41" t="s">
        <v>32</v>
      </c>
      <c r="D14" s="25" t="s">
        <v>77</v>
      </c>
    </row>
    <row r="15" customFormat="false" ht="31.5" hidden="false" customHeight="true" outlineLevel="0" collapsed="false">
      <c r="B15" s="45" t="s">
        <v>78</v>
      </c>
      <c r="C15" s="42" t="s">
        <v>32</v>
      </c>
      <c r="D15" s="9" t="s">
        <v>79</v>
      </c>
    </row>
    <row r="16" customFormat="false" ht="31.5" hidden="false" customHeight="true" outlineLevel="0" collapsed="false">
      <c r="B16" s="46" t="s">
        <v>80</v>
      </c>
      <c r="C16" s="41" t="s">
        <v>269</v>
      </c>
      <c r="D16" s="25" t="s">
        <v>81</v>
      </c>
    </row>
    <row r="17" customFormat="false" ht="31.5" hidden="false" customHeight="true" outlineLevel="0" collapsed="false">
      <c r="B17" s="46" t="s">
        <v>82</v>
      </c>
      <c r="C17" s="42" t="s">
        <v>269</v>
      </c>
      <c r="D17" s="9" t="s">
        <v>83</v>
      </c>
    </row>
    <row r="18" customFormat="false" ht="31.5" hidden="false" customHeight="true" outlineLevel="0" collapsed="false">
      <c r="B18" s="46" t="s">
        <v>84</v>
      </c>
      <c r="C18" s="41" t="s">
        <v>269</v>
      </c>
      <c r="D18" s="25" t="s">
        <v>85</v>
      </c>
    </row>
    <row r="19" customFormat="false" ht="31.5" hidden="false" customHeight="true" outlineLevel="0" collapsed="false">
      <c r="B19" s="46" t="s">
        <v>86</v>
      </c>
      <c r="C19" s="42" t="s">
        <v>269</v>
      </c>
      <c r="D19" s="9" t="s">
        <v>87</v>
      </c>
    </row>
    <row r="20" customFormat="false" ht="31.5" hidden="false" customHeight="true" outlineLevel="0" collapsed="false">
      <c r="B20" s="46" t="s">
        <v>88</v>
      </c>
      <c r="C20" s="41" t="s">
        <v>269</v>
      </c>
      <c r="D20" s="25" t="s">
        <v>89</v>
      </c>
    </row>
    <row r="21" customFormat="false" ht="31.5" hidden="false" customHeight="true" outlineLevel="0" collapsed="false">
      <c r="B21" s="46" t="s">
        <v>90</v>
      </c>
      <c r="C21" s="42" t="s">
        <v>269</v>
      </c>
      <c r="D21" s="9" t="s">
        <v>91</v>
      </c>
    </row>
    <row r="22" customFormat="false" ht="31.5" hidden="false" customHeight="true" outlineLevel="0" collapsed="false">
      <c r="B22" s="46" t="s">
        <v>92</v>
      </c>
      <c r="C22" s="41" t="s">
        <v>269</v>
      </c>
      <c r="D22" s="25" t="s">
        <v>93</v>
      </c>
    </row>
    <row r="23" customFormat="false" ht="31.5" hidden="false" customHeight="true" outlineLevel="0" collapsed="false">
      <c r="B23" s="47" t="s">
        <v>94</v>
      </c>
      <c r="C23" s="42" t="s">
        <v>270</v>
      </c>
      <c r="D23" s="9" t="s">
        <v>95</v>
      </c>
    </row>
    <row r="24" customFormat="false" ht="31.5" hidden="false" customHeight="true" outlineLevel="0" collapsed="false">
      <c r="B24" s="47" t="s">
        <v>96</v>
      </c>
      <c r="C24" s="41" t="s">
        <v>270</v>
      </c>
      <c r="D24" s="25" t="s">
        <v>97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true" outlineLevel="0" max="18" min="16" style="1" width="13"/>
  </cols>
  <sheetData>
    <row r="2" customFormat="false" ht="27.75" hidden="false" customHeight="true" outlineLevel="0" collapsed="false">
      <c r="B2" s="6" t="s">
        <v>271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B3" s="39" t="s">
        <v>272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customFormat="false" ht="15" hidden="false" customHeight="false" outlineLevel="0" collapsed="false">
      <c r="B5" s="48" t="s">
        <v>273</v>
      </c>
      <c r="P5" s="49" t="s">
        <v>274</v>
      </c>
    </row>
    <row r="6" customFormat="false" ht="15" hidden="false" customHeight="false" outlineLevel="0" collapsed="false">
      <c r="B6" s="50" t="s">
        <v>275</v>
      </c>
      <c r="C6" s="51" t="s">
        <v>266</v>
      </c>
      <c r="P6" s="52" t="s">
        <v>276</v>
      </c>
      <c r="Q6" s="52" t="s">
        <v>277</v>
      </c>
      <c r="R6" s="52" t="s">
        <v>265</v>
      </c>
    </row>
    <row r="7" customFormat="false" ht="15" hidden="false" customHeight="false" outlineLevel="0" collapsed="false">
      <c r="B7" s="53" t="s">
        <v>278</v>
      </c>
      <c r="C7" s="51" t="s">
        <v>267</v>
      </c>
      <c r="P7" s="54" t="n">
        <f aca="false">'Portfólio Pontuado'!U20</f>
        <v>2.4</v>
      </c>
      <c r="Q7" s="54" t="n">
        <f aca="false">'Portfólio Pontuado'!T20</f>
        <v>2.65</v>
      </c>
      <c r="R7" s="55" t="s">
        <v>275</v>
      </c>
    </row>
    <row r="8" customFormat="false" ht="15" hidden="false" customHeight="false" outlineLevel="0" collapsed="false">
      <c r="B8" s="56" t="s">
        <v>279</v>
      </c>
      <c r="C8" s="51" t="s">
        <v>268</v>
      </c>
      <c r="P8" s="54" t="n">
        <f aca="false">'Portfólio Pontuado'!U22</f>
        <v>2.4</v>
      </c>
      <c r="Q8" s="54" t="n">
        <f aca="false">'Portfólio Pontuado'!T22</f>
        <v>2.65</v>
      </c>
      <c r="R8" s="55" t="s">
        <v>275</v>
      </c>
    </row>
    <row r="9" customFormat="false" ht="15" hidden="false" customHeight="false" outlineLevel="0" collapsed="false">
      <c r="B9" s="57" t="s">
        <v>280</v>
      </c>
      <c r="C9" s="51" t="s">
        <v>32</v>
      </c>
      <c r="P9" s="54" t="n">
        <f aca="false">'Portfólio Pontuado'!U27</f>
        <v>2.9</v>
      </c>
      <c r="Q9" s="54" t="n">
        <f aca="false">'Portfólio Pontuado'!T27</f>
        <v>3.55</v>
      </c>
      <c r="R9" s="55" t="s">
        <v>275</v>
      </c>
    </row>
    <row r="10" customFormat="false" ht="15" hidden="false" customHeight="false" outlineLevel="0" collapsed="false">
      <c r="B10" s="58" t="s">
        <v>281</v>
      </c>
      <c r="C10" s="51" t="s">
        <v>269</v>
      </c>
      <c r="P10" s="54" t="n">
        <f aca="false">'Portfólio Pontuado'!U28</f>
        <v>2.9</v>
      </c>
      <c r="Q10" s="54" t="n">
        <f aca="false">'Portfólio Pontuado'!T28</f>
        <v>2.95</v>
      </c>
      <c r="R10" s="55" t="s">
        <v>275</v>
      </c>
    </row>
    <row r="11" customFormat="false" ht="15" hidden="false" customHeight="false" outlineLevel="0" collapsed="false">
      <c r="B11" s="59" t="s">
        <v>282</v>
      </c>
      <c r="C11" s="51" t="s">
        <v>270</v>
      </c>
      <c r="P11" s="54" t="n">
        <f aca="false">'Portfólio Pontuado'!U49</f>
        <v>2.9</v>
      </c>
      <c r="Q11" s="54" t="n">
        <f aca="false">'Portfólio Pontuado'!T49</f>
        <v>3.25</v>
      </c>
      <c r="R11" s="55" t="s">
        <v>275</v>
      </c>
    </row>
    <row r="12" customFormat="false" ht="15" hidden="false" customHeight="false" outlineLevel="0" collapsed="false">
      <c r="P12" s="54" t="n">
        <f aca="false">'Portfólio Pontuado'!U51</f>
        <v>2.4</v>
      </c>
      <c r="Q12" s="54" t="n">
        <f aca="false">'Portfólio Pontuado'!T51</f>
        <v>3.1</v>
      </c>
      <c r="R12" s="55" t="s">
        <v>275</v>
      </c>
    </row>
    <row r="13" customFormat="false" ht="15" hidden="false" customHeight="false" outlineLevel="0" collapsed="false">
      <c r="P13" s="54" t="n">
        <f aca="false">'Portfólio Pontuado'!U55</f>
        <v>3.15</v>
      </c>
      <c r="Q13" s="54" t="n">
        <f aca="false">'Portfólio Pontuado'!T55</f>
        <v>3.85</v>
      </c>
      <c r="R13" s="55" t="s">
        <v>275</v>
      </c>
    </row>
    <row r="14" customFormat="false" ht="15" hidden="false" customHeight="false" outlineLevel="0" collapsed="false">
      <c r="P14" s="54" t="n">
        <f aca="false">'Portfólio Pontuado'!U56</f>
        <v>3.15</v>
      </c>
      <c r="Q14" s="54" t="n">
        <f aca="false">'Portfólio Pontuado'!T56</f>
        <v>4</v>
      </c>
      <c r="R14" s="55" t="s">
        <v>275</v>
      </c>
    </row>
    <row r="15" customFormat="false" ht="15" hidden="false" customHeight="false" outlineLevel="0" collapsed="false">
      <c r="P15" s="54" t="n">
        <f aca="false">'Portfólio Pontuado'!U59</f>
        <v>3.95</v>
      </c>
      <c r="Q15" s="54" t="n">
        <f aca="false">'Portfólio Pontuado'!T59</f>
        <v>4</v>
      </c>
      <c r="R15" s="55" t="s">
        <v>275</v>
      </c>
    </row>
    <row r="16" customFormat="false" ht="15" hidden="false" customHeight="false" outlineLevel="0" collapsed="false">
      <c r="P16" s="54" t="n">
        <f aca="false">'Portfólio Pontuado'!U60</f>
        <v>3.95</v>
      </c>
      <c r="Q16" s="54" t="n">
        <f aca="false">'Portfólio Pontuado'!T60</f>
        <v>4</v>
      </c>
      <c r="R16" s="55" t="s">
        <v>275</v>
      </c>
    </row>
    <row r="17" customFormat="false" ht="15" hidden="false" customHeight="false" outlineLevel="0" collapsed="false">
      <c r="P17" s="54" t="n">
        <f aca="false">'Portfólio Pontuado'!U61</f>
        <v>3.15</v>
      </c>
      <c r="Q17" s="54" t="n">
        <f aca="false">'Portfólio Pontuado'!T61</f>
        <v>3.75</v>
      </c>
      <c r="R17" s="55" t="s">
        <v>275</v>
      </c>
    </row>
    <row r="18" customFormat="false" ht="15" hidden="false" customHeight="false" outlineLevel="0" collapsed="false">
      <c r="P18" s="54" t="n">
        <f aca="false">'Portfólio Pontuado'!U62</f>
        <v>3.7</v>
      </c>
      <c r="Q18" s="54" t="n">
        <f aca="false">'Portfólio Pontuado'!T62</f>
        <v>4.25</v>
      </c>
      <c r="R18" s="55" t="s">
        <v>275</v>
      </c>
    </row>
    <row r="19" customFormat="false" ht="15" hidden="false" customHeight="false" outlineLevel="0" collapsed="false">
      <c r="P19" s="54" t="n">
        <f aca="false">'Portfólio Pontuado'!U65</f>
        <v>2.9</v>
      </c>
      <c r="Q19" s="54" t="n">
        <f aca="false">'Portfólio Pontuado'!T65</f>
        <v>3.65</v>
      </c>
      <c r="R19" s="55" t="s">
        <v>275</v>
      </c>
    </row>
    <row r="20" customFormat="false" ht="15" hidden="false" customHeight="false" outlineLevel="0" collapsed="false">
      <c r="P20" s="54" t="n">
        <f aca="false">'Portfólio Pontuado'!U69</f>
        <v>2.9</v>
      </c>
      <c r="Q20" s="54" t="n">
        <f aca="false">'Portfólio Pontuado'!T69</f>
        <v>3.85</v>
      </c>
      <c r="R20" s="55" t="s">
        <v>275</v>
      </c>
    </row>
    <row r="21" customFormat="false" ht="15" hidden="false" customHeight="false" outlineLevel="0" collapsed="false">
      <c r="P21" s="54" t="n">
        <f aca="false">'Portfólio Pontuado'!U72</f>
        <v>2.9</v>
      </c>
      <c r="Q21" s="54" t="n">
        <f aca="false">'Portfólio Pontuado'!T72</f>
        <v>3.7</v>
      </c>
      <c r="R21" s="55" t="s">
        <v>275</v>
      </c>
    </row>
    <row r="22" customFormat="false" ht="15" hidden="false" customHeight="false" outlineLevel="0" collapsed="false">
      <c r="P22" s="54" t="n">
        <f aca="false">'Portfólio Pontuado'!U73</f>
        <v>3.15</v>
      </c>
      <c r="Q22" s="54" t="n">
        <f aca="false">'Portfólio Pontuado'!T73</f>
        <v>3.75</v>
      </c>
      <c r="R22" s="55" t="s">
        <v>275</v>
      </c>
    </row>
    <row r="23" customFormat="false" ht="15" hidden="false" customHeight="false" outlineLevel="0" collapsed="false">
      <c r="P23" s="54" t="n">
        <f aca="false">'Portfólio Pontuado'!U80</f>
        <v>2.4</v>
      </c>
      <c r="Q23" s="54" t="n">
        <f aca="false">'Portfólio Pontuado'!T80</f>
        <v>3.25</v>
      </c>
      <c r="R23" s="55" t="s">
        <v>275</v>
      </c>
    </row>
    <row r="25" customFormat="false" ht="15" hidden="false" customHeight="false" outlineLevel="0" collapsed="false">
      <c r="P25" s="54" t="n">
        <f aca="false">'Portfólio Pontuado'!U26</f>
        <v>2.95</v>
      </c>
      <c r="Q25" s="54" t="n">
        <f aca="false">'Portfólio Pontuado'!T26</f>
        <v>3.05</v>
      </c>
      <c r="R25" s="55" t="s">
        <v>279</v>
      </c>
    </row>
    <row r="26" customFormat="false" ht="15" hidden="false" customHeight="false" outlineLevel="0" collapsed="false">
      <c r="P26" s="54" t="n">
        <f aca="false">'Portfólio Pontuado'!U47</f>
        <v>2.9</v>
      </c>
      <c r="Q26" s="54" t="n">
        <f aca="false">'Portfólio Pontuado'!T47</f>
        <v>2.65</v>
      </c>
      <c r="R26" s="55" t="s">
        <v>279</v>
      </c>
    </row>
    <row r="27" customFormat="false" ht="15" hidden="false" customHeight="false" outlineLevel="0" collapsed="false">
      <c r="P27" s="54" t="n">
        <f aca="false">'Portfólio Pontuado'!U50</f>
        <v>3.4</v>
      </c>
      <c r="Q27" s="54" t="n">
        <f aca="false">'Portfólio Pontuado'!T50</f>
        <v>2.95</v>
      </c>
      <c r="R27" s="55" t="s">
        <v>279</v>
      </c>
    </row>
    <row r="28" customFormat="false" ht="15" hidden="false" customHeight="false" outlineLevel="0" collapsed="false">
      <c r="P28" s="54" t="n">
        <f aca="false">'Portfólio Pontuado'!U71</f>
        <v>3.4</v>
      </c>
      <c r="Q28" s="54" t="n">
        <f aca="false">'Portfólio Pontuado'!T71</f>
        <v>3.5</v>
      </c>
      <c r="R28" s="55" t="s">
        <v>279</v>
      </c>
    </row>
    <row r="30" customFormat="false" ht="15" hidden="false" customHeight="false" outlineLevel="0" collapsed="false">
      <c r="P30" s="54" t="n">
        <f aca="false">'Portfólio Pontuado'!U14</f>
        <v>2.4</v>
      </c>
      <c r="Q30" s="54" t="n">
        <f aca="false">'Portfólio Pontuado'!T14</f>
        <v>2.95</v>
      </c>
      <c r="R30" s="55" t="s">
        <v>280</v>
      </c>
    </row>
    <row r="31" customFormat="false" ht="15" hidden="false" customHeight="false" outlineLevel="0" collapsed="false">
      <c r="P31" s="54" t="n">
        <f aca="false">'Portfólio Pontuado'!U35</f>
        <v>3.4</v>
      </c>
      <c r="Q31" s="54" t="n">
        <f aca="false">'Portfólio Pontuado'!T35</f>
        <v>3.55</v>
      </c>
      <c r="R31" s="55" t="s">
        <v>280</v>
      </c>
    </row>
    <row r="33" customFormat="false" ht="15" hidden="false" customHeight="false" outlineLevel="0" collapsed="false">
      <c r="P33" s="54" t="n">
        <f aca="false">'Portfólio Pontuado'!U5</f>
        <v>3.15</v>
      </c>
      <c r="Q33" s="54" t="n">
        <f aca="false">'Portfólio Pontuado'!T5</f>
        <v>3.85</v>
      </c>
      <c r="R33" s="55" t="s">
        <v>281</v>
      </c>
    </row>
    <row r="34" customFormat="false" ht="15" hidden="false" customHeight="false" outlineLevel="0" collapsed="false">
      <c r="P34" s="54" t="n">
        <f aca="false">'Portfólio Pontuado'!U7</f>
        <v>2.4</v>
      </c>
      <c r="Q34" s="54" t="n">
        <f aca="false">'Portfólio Pontuado'!T7</f>
        <v>2.3</v>
      </c>
      <c r="R34" s="55" t="s">
        <v>281</v>
      </c>
    </row>
    <row r="35" customFormat="false" ht="15" hidden="false" customHeight="false" outlineLevel="0" collapsed="false">
      <c r="P35" s="54" t="n">
        <f aca="false">'Portfólio Pontuado'!U8</f>
        <v>2.4</v>
      </c>
      <c r="Q35" s="54" t="n">
        <f aca="false">'Portfólio Pontuado'!T8</f>
        <v>2.3</v>
      </c>
      <c r="R35" s="55" t="s">
        <v>281</v>
      </c>
    </row>
    <row r="36" customFormat="false" ht="15" hidden="false" customHeight="false" outlineLevel="0" collapsed="false">
      <c r="P36" s="54" t="n">
        <f aca="false">'Portfólio Pontuado'!U9</f>
        <v>2.4</v>
      </c>
      <c r="Q36" s="54" t="n">
        <f aca="false">'Portfólio Pontuado'!T9</f>
        <v>3</v>
      </c>
      <c r="R36" s="55" t="s">
        <v>281</v>
      </c>
    </row>
    <row r="37" customFormat="false" ht="15" hidden="false" customHeight="false" outlineLevel="0" collapsed="false">
      <c r="P37" s="54" t="n">
        <f aca="false">'Portfólio Pontuado'!U11</f>
        <v>2.4</v>
      </c>
      <c r="Q37" s="54" t="n">
        <f aca="false">'Portfólio Pontuado'!T11</f>
        <v>3.3</v>
      </c>
      <c r="R37" s="55" t="s">
        <v>281</v>
      </c>
    </row>
    <row r="38" customFormat="false" ht="15" hidden="false" customHeight="false" outlineLevel="0" collapsed="false">
      <c r="P38" s="54" t="n">
        <f aca="false">'Portfólio Pontuado'!U12</f>
        <v>2.4</v>
      </c>
      <c r="Q38" s="54" t="n">
        <f aca="false">'Portfólio Pontuado'!T12</f>
        <v>2.65</v>
      </c>
      <c r="R38" s="55" t="s">
        <v>281</v>
      </c>
    </row>
    <row r="39" customFormat="false" ht="15" hidden="false" customHeight="false" outlineLevel="0" collapsed="false">
      <c r="P39" s="54" t="n">
        <f aca="false">'Portfólio Pontuado'!U13</f>
        <v>2.9</v>
      </c>
      <c r="Q39" s="54" t="n">
        <f aca="false">'Portfólio Pontuado'!T13</f>
        <v>3.7</v>
      </c>
      <c r="R39" s="55" t="s">
        <v>281</v>
      </c>
    </row>
    <row r="40" customFormat="false" ht="15" hidden="false" customHeight="false" outlineLevel="0" collapsed="false">
      <c r="P40" s="54" t="n">
        <f aca="false">'Portfólio Pontuado'!U15</f>
        <v>2.9</v>
      </c>
      <c r="Q40" s="54" t="n">
        <f aca="false">'Portfólio Pontuado'!T15</f>
        <v>3.6</v>
      </c>
      <c r="R40" s="55" t="s">
        <v>281</v>
      </c>
    </row>
    <row r="41" customFormat="false" ht="15" hidden="false" customHeight="false" outlineLevel="0" collapsed="false">
      <c r="P41" s="54" t="n">
        <f aca="false">'Portfólio Pontuado'!U16</f>
        <v>2.4</v>
      </c>
      <c r="Q41" s="54" t="n">
        <f aca="false">'Portfólio Pontuado'!T16</f>
        <v>3.05</v>
      </c>
      <c r="R41" s="55" t="s">
        <v>281</v>
      </c>
    </row>
    <row r="42" customFormat="false" ht="15" hidden="false" customHeight="false" outlineLevel="0" collapsed="false">
      <c r="P42" s="54" t="n">
        <f aca="false">'Portfólio Pontuado'!U17</f>
        <v>3.4</v>
      </c>
      <c r="Q42" s="54" t="n">
        <f aca="false">'Portfólio Pontuado'!T17</f>
        <v>4.05</v>
      </c>
      <c r="R42" s="55" t="s">
        <v>281</v>
      </c>
    </row>
    <row r="43" customFormat="false" ht="15" hidden="false" customHeight="false" outlineLevel="0" collapsed="false">
      <c r="P43" s="54" t="n">
        <f aca="false">'Portfólio Pontuado'!U18</f>
        <v>2.4</v>
      </c>
      <c r="Q43" s="54" t="n">
        <f aca="false">'Portfólio Pontuado'!T18</f>
        <v>2.3</v>
      </c>
      <c r="R43" s="55" t="s">
        <v>281</v>
      </c>
    </row>
    <row r="44" customFormat="false" ht="15" hidden="false" customHeight="false" outlineLevel="0" collapsed="false">
      <c r="P44" s="54" t="n">
        <f aca="false">'Portfólio Pontuado'!U19</f>
        <v>2.4</v>
      </c>
      <c r="Q44" s="54" t="n">
        <f aca="false">'Portfólio Pontuado'!T19</f>
        <v>2.3</v>
      </c>
      <c r="R44" s="55" t="s">
        <v>281</v>
      </c>
    </row>
    <row r="45" customFormat="false" ht="15" hidden="false" customHeight="false" outlineLevel="0" collapsed="false">
      <c r="P45" s="54" t="n">
        <f aca="false">'Portfólio Pontuado'!U21</f>
        <v>2.4</v>
      </c>
      <c r="Q45" s="54" t="n">
        <f aca="false">'Portfólio Pontuado'!T21</f>
        <v>3</v>
      </c>
      <c r="R45" s="55" t="s">
        <v>281</v>
      </c>
    </row>
    <row r="46" customFormat="false" ht="15" hidden="false" customHeight="false" outlineLevel="0" collapsed="false">
      <c r="P46" s="54" t="n">
        <f aca="false">'Portfólio Pontuado'!U23</f>
        <v>3.2</v>
      </c>
      <c r="Q46" s="54" t="n">
        <f aca="false">'Portfólio Pontuado'!T23</f>
        <v>3.6</v>
      </c>
      <c r="R46" s="55" t="s">
        <v>281</v>
      </c>
    </row>
    <row r="47" customFormat="false" ht="15" hidden="false" customHeight="false" outlineLevel="0" collapsed="false">
      <c r="P47" s="54" t="n">
        <f aca="false">'Portfólio Pontuado'!U24</f>
        <v>2.4</v>
      </c>
      <c r="Q47" s="54" t="n">
        <f aca="false">'Portfólio Pontuado'!T24</f>
        <v>3</v>
      </c>
      <c r="R47" s="55" t="s">
        <v>281</v>
      </c>
    </row>
    <row r="48" customFormat="false" ht="15" hidden="false" customHeight="false" outlineLevel="0" collapsed="false">
      <c r="P48" s="54" t="n">
        <f aca="false">'Portfólio Pontuado'!U25</f>
        <v>3.45</v>
      </c>
      <c r="Q48" s="54" t="n">
        <f aca="false">'Portfólio Pontuado'!T25</f>
        <v>3.5</v>
      </c>
      <c r="R48" s="55" t="s">
        <v>281</v>
      </c>
    </row>
    <row r="49" customFormat="false" ht="15" hidden="false" customHeight="false" outlineLevel="0" collapsed="false">
      <c r="P49" s="54" t="n">
        <f aca="false">'Portfólio Pontuado'!U29</f>
        <v>2.4</v>
      </c>
      <c r="Q49" s="54" t="n">
        <f aca="false">'Portfólio Pontuado'!T29</f>
        <v>2.3</v>
      </c>
      <c r="R49" s="55" t="s">
        <v>281</v>
      </c>
    </row>
    <row r="50" customFormat="false" ht="15" hidden="false" customHeight="false" outlineLevel="0" collapsed="false">
      <c r="P50" s="54" t="n">
        <f aca="false">'Portfólio Pontuado'!U30</f>
        <v>2.4</v>
      </c>
      <c r="Q50" s="54" t="n">
        <f aca="false">'Portfólio Pontuado'!T30</f>
        <v>3.1</v>
      </c>
      <c r="R50" s="55" t="s">
        <v>281</v>
      </c>
    </row>
    <row r="51" customFormat="false" ht="15" hidden="false" customHeight="false" outlineLevel="0" collapsed="false">
      <c r="P51" s="54" t="n">
        <f aca="false">'Portfólio Pontuado'!U31</f>
        <v>3.7</v>
      </c>
      <c r="Q51" s="54" t="n">
        <f aca="false">'Portfólio Pontuado'!T31</f>
        <v>4</v>
      </c>
      <c r="R51" s="55" t="s">
        <v>281</v>
      </c>
    </row>
    <row r="52" customFormat="false" ht="15" hidden="false" customHeight="false" outlineLevel="0" collapsed="false">
      <c r="P52" s="54" t="n">
        <f aca="false">'Portfólio Pontuado'!U32</f>
        <v>2.9</v>
      </c>
      <c r="Q52" s="54" t="n">
        <f aca="false">'Portfólio Pontuado'!T32</f>
        <v>3.75</v>
      </c>
      <c r="R52" s="55" t="s">
        <v>281</v>
      </c>
    </row>
    <row r="53" customFormat="false" ht="15" hidden="false" customHeight="false" outlineLevel="0" collapsed="false">
      <c r="P53" s="54" t="n">
        <f aca="false">'Portfólio Pontuado'!U33</f>
        <v>3.7</v>
      </c>
      <c r="Q53" s="54" t="n">
        <f aca="false">'Portfólio Pontuado'!T33</f>
        <v>3.85</v>
      </c>
      <c r="R53" s="55" t="s">
        <v>281</v>
      </c>
    </row>
    <row r="54" customFormat="false" ht="15" hidden="false" customHeight="false" outlineLevel="0" collapsed="false">
      <c r="P54" s="54" t="n">
        <f aca="false">'Portfólio Pontuado'!U34</f>
        <v>3.7</v>
      </c>
      <c r="Q54" s="54" t="n">
        <f aca="false">'Portfólio Pontuado'!T34</f>
        <v>4</v>
      </c>
      <c r="R54" s="55" t="s">
        <v>281</v>
      </c>
    </row>
    <row r="55" customFormat="false" ht="15" hidden="false" customHeight="false" outlineLevel="0" collapsed="false">
      <c r="P55" s="54" t="n">
        <f aca="false">'Portfólio Pontuado'!U36</f>
        <v>2.9</v>
      </c>
      <c r="Q55" s="54" t="n">
        <f aca="false">'Portfólio Pontuado'!T36</f>
        <v>4.05</v>
      </c>
      <c r="R55" s="55" t="s">
        <v>281</v>
      </c>
    </row>
    <row r="56" customFormat="false" ht="15" hidden="false" customHeight="false" outlineLevel="0" collapsed="false">
      <c r="P56" s="54" t="n">
        <f aca="false">'Portfólio Pontuado'!U37</f>
        <v>2.7</v>
      </c>
      <c r="Q56" s="54" t="n">
        <f aca="false">'Portfólio Pontuado'!T37</f>
        <v>4.05</v>
      </c>
      <c r="R56" s="55" t="s">
        <v>281</v>
      </c>
    </row>
    <row r="57" customFormat="false" ht="15" hidden="false" customHeight="false" outlineLevel="0" collapsed="false">
      <c r="P57" s="54" t="n">
        <f aca="false">'Portfólio Pontuado'!U39</f>
        <v>2.4</v>
      </c>
      <c r="Q57" s="54" t="n">
        <f aca="false">'Portfólio Pontuado'!T39</f>
        <v>2.85</v>
      </c>
      <c r="R57" s="55" t="s">
        <v>281</v>
      </c>
    </row>
    <row r="58" customFormat="false" ht="15" hidden="false" customHeight="false" outlineLevel="0" collapsed="false">
      <c r="P58" s="54" t="n">
        <f aca="false">'Portfólio Pontuado'!U40</f>
        <v>2.4</v>
      </c>
      <c r="Q58" s="54" t="n">
        <f aca="false">'Portfólio Pontuado'!T40</f>
        <v>2.65</v>
      </c>
      <c r="R58" s="55" t="s">
        <v>281</v>
      </c>
    </row>
    <row r="59" customFormat="false" ht="15" hidden="false" customHeight="false" outlineLevel="0" collapsed="false">
      <c r="P59" s="54" t="n">
        <f aca="false">'Portfólio Pontuado'!U41</f>
        <v>2.4</v>
      </c>
      <c r="Q59" s="54" t="n">
        <f aca="false">'Portfólio Pontuado'!T41</f>
        <v>2.85</v>
      </c>
      <c r="R59" s="55" t="s">
        <v>281</v>
      </c>
    </row>
    <row r="60" customFormat="false" ht="15" hidden="false" customHeight="false" outlineLevel="0" collapsed="false">
      <c r="P60" s="54" t="n">
        <f aca="false">'Portfólio Pontuado'!U42</f>
        <v>3.4</v>
      </c>
      <c r="Q60" s="54" t="n">
        <f aca="false">'Portfólio Pontuado'!T42</f>
        <v>3.45</v>
      </c>
      <c r="R60" s="55" t="s">
        <v>281</v>
      </c>
    </row>
    <row r="61" customFormat="false" ht="15" hidden="false" customHeight="false" outlineLevel="0" collapsed="false">
      <c r="P61" s="54" t="n">
        <f aca="false">'Portfólio Pontuado'!U43</f>
        <v>2.4</v>
      </c>
      <c r="Q61" s="54" t="n">
        <f aca="false">'Portfólio Pontuado'!T43</f>
        <v>2.85</v>
      </c>
      <c r="R61" s="55" t="s">
        <v>281</v>
      </c>
    </row>
    <row r="62" customFormat="false" ht="15" hidden="false" customHeight="false" outlineLevel="0" collapsed="false">
      <c r="P62" s="54" t="n">
        <f aca="false">'Portfólio Pontuado'!U44</f>
        <v>2.4</v>
      </c>
      <c r="Q62" s="54" t="n">
        <f aca="false">'Portfólio Pontuado'!T44</f>
        <v>2.85</v>
      </c>
      <c r="R62" s="55" t="s">
        <v>281</v>
      </c>
    </row>
    <row r="63" customFormat="false" ht="15" hidden="false" customHeight="false" outlineLevel="0" collapsed="false">
      <c r="P63" s="54" t="n">
        <f aca="false">'Portfólio Pontuado'!U45</f>
        <v>2.4</v>
      </c>
      <c r="Q63" s="54" t="n">
        <f aca="false">'Portfólio Pontuado'!T45</f>
        <v>2.65</v>
      </c>
      <c r="R63" s="55" t="s">
        <v>281</v>
      </c>
    </row>
    <row r="64" customFormat="false" ht="15" hidden="false" customHeight="false" outlineLevel="0" collapsed="false">
      <c r="P64" s="54" t="n">
        <f aca="false">'Portfólio Pontuado'!U46</f>
        <v>2.4</v>
      </c>
      <c r="Q64" s="54" t="n">
        <f aca="false">'Portfólio Pontuado'!T46</f>
        <v>2.6</v>
      </c>
      <c r="R64" s="55" t="s">
        <v>281</v>
      </c>
    </row>
    <row r="65" customFormat="false" ht="15" hidden="false" customHeight="false" outlineLevel="0" collapsed="false">
      <c r="P65" s="54" t="n">
        <f aca="false">'Portfólio Pontuado'!U48</f>
        <v>2.7</v>
      </c>
      <c r="Q65" s="54" t="n">
        <f aca="false">'Portfólio Pontuado'!T48</f>
        <v>3.75</v>
      </c>
      <c r="R65" s="55" t="s">
        <v>281</v>
      </c>
    </row>
    <row r="66" customFormat="false" ht="15" hidden="false" customHeight="false" outlineLevel="0" collapsed="false">
      <c r="P66" s="54" t="n">
        <f aca="false">'Portfólio Pontuado'!U52</f>
        <v>2.9</v>
      </c>
      <c r="Q66" s="54" t="n">
        <f aca="false">'Portfólio Pontuado'!T52</f>
        <v>3.1</v>
      </c>
      <c r="R66" s="55" t="s">
        <v>281</v>
      </c>
    </row>
    <row r="67" customFormat="false" ht="15" hidden="false" customHeight="false" outlineLevel="0" collapsed="false">
      <c r="P67" s="54" t="n">
        <f aca="false">'Portfólio Pontuado'!U53</f>
        <v>2.9</v>
      </c>
      <c r="Q67" s="54" t="n">
        <f aca="false">'Portfólio Pontuado'!T53</f>
        <v>3.1</v>
      </c>
      <c r="R67" s="55" t="s">
        <v>281</v>
      </c>
    </row>
    <row r="68" customFormat="false" ht="15" hidden="false" customHeight="false" outlineLevel="0" collapsed="false">
      <c r="P68" s="54" t="n">
        <f aca="false">'Portfólio Pontuado'!U54</f>
        <v>2.9</v>
      </c>
      <c r="Q68" s="54" t="n">
        <f aca="false">'Portfólio Pontuado'!T54</f>
        <v>3.1</v>
      </c>
      <c r="R68" s="55" t="s">
        <v>281</v>
      </c>
    </row>
    <row r="69" customFormat="false" ht="15" hidden="false" customHeight="false" outlineLevel="0" collapsed="false">
      <c r="P69" s="54" t="n">
        <f aca="false">'Portfólio Pontuado'!U57</f>
        <v>3.15</v>
      </c>
      <c r="Q69" s="54" t="n">
        <f aca="false">'Portfólio Pontuado'!T57</f>
        <v>4</v>
      </c>
      <c r="R69" s="55" t="s">
        <v>281</v>
      </c>
    </row>
    <row r="70" customFormat="false" ht="15" hidden="false" customHeight="false" outlineLevel="0" collapsed="false">
      <c r="P70" s="54" t="n">
        <f aca="false">'Portfólio Pontuado'!U58</f>
        <v>3.7</v>
      </c>
      <c r="Q70" s="54" t="n">
        <f aca="false">'Portfólio Pontuado'!T58</f>
        <v>4.15</v>
      </c>
      <c r="R70" s="55" t="s">
        <v>281</v>
      </c>
    </row>
    <row r="71" customFormat="false" ht="15" hidden="false" customHeight="false" outlineLevel="0" collapsed="false">
      <c r="P71" s="54" t="n">
        <f aca="false">'Portfólio Pontuado'!U63</f>
        <v>2.65</v>
      </c>
      <c r="Q71" s="54" t="n">
        <f aca="false">'Portfólio Pontuado'!T63</f>
        <v>4</v>
      </c>
      <c r="R71" s="55" t="s">
        <v>281</v>
      </c>
    </row>
    <row r="72" customFormat="false" ht="15" hidden="false" customHeight="false" outlineLevel="0" collapsed="false">
      <c r="P72" s="54" t="n">
        <f aca="false">'Portfólio Pontuado'!U64</f>
        <v>2.65</v>
      </c>
      <c r="Q72" s="54" t="n">
        <f aca="false">'Portfólio Pontuado'!T64</f>
        <v>2.75</v>
      </c>
      <c r="R72" s="55" t="s">
        <v>281</v>
      </c>
    </row>
    <row r="73" customFormat="false" ht="15" hidden="false" customHeight="false" outlineLevel="0" collapsed="false">
      <c r="P73" s="54" t="n">
        <f aca="false">'Portfólio Pontuado'!U66</f>
        <v>2.9</v>
      </c>
      <c r="Q73" s="54" t="n">
        <f aca="false">'Portfólio Pontuado'!T66</f>
        <v>3.75</v>
      </c>
      <c r="R73" s="55" t="s">
        <v>281</v>
      </c>
    </row>
    <row r="74" customFormat="false" ht="15" hidden="false" customHeight="false" outlineLevel="0" collapsed="false">
      <c r="P74" s="54" t="n">
        <f aca="false">'Portfólio Pontuado'!U67</f>
        <v>2.9</v>
      </c>
      <c r="Q74" s="54" t="n">
        <f aca="false">'Portfólio Pontuado'!T67</f>
        <v>2.6</v>
      </c>
      <c r="R74" s="55" t="s">
        <v>281</v>
      </c>
    </row>
    <row r="75" customFormat="false" ht="15" hidden="false" customHeight="false" outlineLevel="0" collapsed="false">
      <c r="P75" s="54" t="n">
        <f aca="false">'Portfólio Pontuado'!U68</f>
        <v>2.4</v>
      </c>
      <c r="Q75" s="54" t="n">
        <f aca="false">'Portfólio Pontuado'!T68</f>
        <v>3.05</v>
      </c>
      <c r="R75" s="55" t="s">
        <v>281</v>
      </c>
    </row>
    <row r="76" customFormat="false" ht="15" hidden="false" customHeight="false" outlineLevel="0" collapsed="false">
      <c r="P76" s="54" t="n">
        <f aca="false">'Portfólio Pontuado'!U70</f>
        <v>3.15</v>
      </c>
      <c r="Q76" s="54" t="n">
        <f aca="false">'Portfólio Pontuado'!T70</f>
        <v>3.85</v>
      </c>
      <c r="R76" s="55" t="s">
        <v>281</v>
      </c>
    </row>
    <row r="77" customFormat="false" ht="15" hidden="false" customHeight="false" outlineLevel="0" collapsed="false">
      <c r="P77" s="54" t="n">
        <f aca="false">'Portfólio Pontuado'!U74</f>
        <v>3.2</v>
      </c>
      <c r="Q77" s="54" t="n">
        <f aca="false">'Portfólio Pontuado'!T74</f>
        <v>2.95</v>
      </c>
      <c r="R77" s="55" t="s">
        <v>281</v>
      </c>
    </row>
    <row r="78" customFormat="false" ht="15" hidden="false" customHeight="false" outlineLevel="0" collapsed="false">
      <c r="P78" s="54" t="n">
        <f aca="false">'Portfólio Pontuado'!U75</f>
        <v>2.7</v>
      </c>
      <c r="Q78" s="54" t="n">
        <f aca="false">'Portfólio Pontuado'!T75</f>
        <v>2.65</v>
      </c>
      <c r="R78" s="55" t="s">
        <v>281</v>
      </c>
    </row>
    <row r="79" customFormat="false" ht="15" hidden="false" customHeight="false" outlineLevel="0" collapsed="false">
      <c r="P79" s="54" t="n">
        <f aca="false">'Portfólio Pontuado'!U76</f>
        <v>3.2</v>
      </c>
      <c r="Q79" s="54" t="n">
        <f aca="false">'Portfólio Pontuado'!T76</f>
        <v>2.95</v>
      </c>
      <c r="R79" s="55" t="s">
        <v>281</v>
      </c>
    </row>
    <row r="80" customFormat="false" ht="15" hidden="false" customHeight="false" outlineLevel="0" collapsed="false">
      <c r="P80" s="54" t="n">
        <f aca="false">'Portfólio Pontuado'!U77</f>
        <v>3.7</v>
      </c>
      <c r="Q80" s="54" t="n">
        <f aca="false">'Portfólio Pontuado'!T77</f>
        <v>3.5</v>
      </c>
      <c r="R80" s="55" t="s">
        <v>281</v>
      </c>
    </row>
    <row r="81" customFormat="false" ht="15" hidden="false" customHeight="false" outlineLevel="0" collapsed="false">
      <c r="P81" s="54" t="n">
        <f aca="false">'Portfólio Pontuado'!U78</f>
        <v>2.7</v>
      </c>
      <c r="Q81" s="54" t="n">
        <f aca="false">'Portfólio Pontuado'!T78</f>
        <v>3</v>
      </c>
      <c r="R81" s="55" t="s">
        <v>281</v>
      </c>
    </row>
    <row r="82" customFormat="false" ht="15" hidden="false" customHeight="false" outlineLevel="0" collapsed="false">
      <c r="P82" s="54" t="n">
        <f aca="false">'Portfólio Pontuado'!U79</f>
        <v>2.7</v>
      </c>
      <c r="Q82" s="54" t="n">
        <f aca="false">'Portfólio Pontuado'!T79</f>
        <v>2.65</v>
      </c>
      <c r="R82" s="55" t="s">
        <v>281</v>
      </c>
    </row>
    <row r="83" customFormat="false" ht="15" hidden="false" customHeight="false" outlineLevel="0" collapsed="false">
      <c r="P83" s="54" t="n">
        <f aca="false">'Portfólio Pontuado'!U81</f>
        <v>2.4</v>
      </c>
      <c r="Q83" s="54" t="n">
        <f aca="false">'Portfólio Pontuado'!T81</f>
        <v>2.3</v>
      </c>
      <c r="R83" s="55" t="s">
        <v>281</v>
      </c>
    </row>
    <row r="85" customFormat="false" ht="15" hidden="false" customHeight="false" outlineLevel="0" collapsed="false">
      <c r="P85" s="54" t="n">
        <f aca="false">'Portfólio Pontuado'!U6</f>
        <v>2.65</v>
      </c>
      <c r="Q85" s="54" t="n">
        <f aca="false">'Portfólio Pontuado'!T6</f>
        <v>2.4</v>
      </c>
      <c r="R85" s="55" t="s">
        <v>282</v>
      </c>
    </row>
    <row r="86" customFormat="false" ht="15" hidden="false" customHeight="false" outlineLevel="0" collapsed="false">
      <c r="P86" s="54" t="n">
        <f aca="false">'Portfólio Pontuado'!U10</f>
        <v>2.4</v>
      </c>
      <c r="Q86" s="54" t="n">
        <f aca="false">'Portfólio Pontuado'!T10</f>
        <v>2.3</v>
      </c>
      <c r="R86" s="55" t="s">
        <v>282</v>
      </c>
    </row>
    <row r="87" customFormat="false" ht="15" hidden="false" customHeight="false" outlineLevel="0" collapsed="false">
      <c r="P87" s="54" t="n">
        <f aca="false">'Portfólio Pontuado'!U38</f>
        <v>2.4</v>
      </c>
      <c r="Q87" s="54" t="n">
        <f aca="false">'Portfólio Pontuado'!T38</f>
        <v>2.6</v>
      </c>
      <c r="R87" s="55" t="s">
        <v>282</v>
      </c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15" activeCellId="0" sqref="G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5" min="5" style="1" width="3"/>
    <col collapsed="false" customWidth="true" hidden="false" outlineLevel="0" max="6" min="6" style="1" width="32"/>
    <col collapsed="false" customWidth="true" hidden="false" outlineLevel="0" max="8" min="7" style="1" width="12"/>
  </cols>
  <sheetData>
    <row r="2" customFormat="false" ht="27.75" hidden="false" customHeight="true" outlineLevel="0" collapsed="false">
      <c r="B2" s="6" t="s">
        <v>283</v>
      </c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B4" s="7" t="s">
        <v>284</v>
      </c>
      <c r="C4" s="7"/>
      <c r="D4" s="7"/>
      <c r="F4" s="7" t="s">
        <v>285</v>
      </c>
      <c r="G4" s="7"/>
      <c r="H4" s="7"/>
    </row>
    <row r="5" customFormat="false" ht="15" hidden="false" customHeight="false" outlineLevel="0" collapsed="false">
      <c r="B5" s="24" t="s">
        <v>286</v>
      </c>
      <c r="C5" s="24" t="s">
        <v>287</v>
      </c>
      <c r="D5" s="24" t="s">
        <v>288</v>
      </c>
      <c r="F5" s="24" t="s">
        <v>265</v>
      </c>
      <c r="G5" s="24" t="s">
        <v>287</v>
      </c>
      <c r="H5" s="24" t="s">
        <v>288</v>
      </c>
    </row>
    <row r="6" customFormat="false" ht="15" hidden="false" customHeight="false" outlineLevel="0" collapsed="false">
      <c r="B6" s="60" t="s">
        <v>289</v>
      </c>
      <c r="C6" s="61" t="n">
        <f aca="false">COUNTIF('Portfólio Pontuado'!V5:V81,"Quick Win")</f>
        <v>27</v>
      </c>
      <c r="D6" s="62" t="n">
        <f aca="false">COUNTIF('Portfólio Pontuado'!V5:V81,"Quick Win")/COUNTA('Portfólio Pontuado'!V5:V81)</f>
        <v>0.350649350649351</v>
      </c>
      <c r="F6" s="63" t="s">
        <v>266</v>
      </c>
      <c r="G6" s="61" t="n">
        <f aca="false">SUMPRODUCT(--(LEFT('Portfólio Pontuado'!D5:D81,1)="F"))</f>
        <v>17</v>
      </c>
      <c r="H6" s="62" t="n">
        <f aca="false">G6/COUNTA('Portfólio Pontuado'!V5:V81)</f>
        <v>0.220779220779221</v>
      </c>
    </row>
    <row r="7" customFormat="false" ht="15" hidden="false" customHeight="false" outlineLevel="0" collapsed="false">
      <c r="B7" s="64" t="s">
        <v>290</v>
      </c>
      <c r="C7" s="61" t="n">
        <f aca="false">COUNTIF('Portfólio Pontuado'!V5:V81,"Big Bet")</f>
        <v>21</v>
      </c>
      <c r="D7" s="62" t="n">
        <f aca="false">COUNTIF('Portfólio Pontuado'!V5:V81,"Big Bet")/COUNTA('Portfólio Pontuado'!V5:V81)</f>
        <v>0.272727272727273</v>
      </c>
      <c r="F7" s="65" t="s">
        <v>267</v>
      </c>
      <c r="G7" s="61" t="n">
        <f aca="false">SUMPRODUCT(--(LEFT('Portfólio Pontuado'!D5:D81,1)="M"))</f>
        <v>0</v>
      </c>
      <c r="H7" s="62" t="n">
        <f aca="false">G7/COUNTA('Portfólio Pontuado'!V5:V81)</f>
        <v>0</v>
      </c>
    </row>
    <row r="8" customFormat="false" ht="15" hidden="false" customHeight="false" outlineLevel="0" collapsed="false">
      <c r="B8" s="66" t="s">
        <v>291</v>
      </c>
      <c r="C8" s="61" t="n">
        <f aca="false">COUNTIF('Portfólio Pontuado'!V5:V81,"Fill In")</f>
        <v>26</v>
      </c>
      <c r="D8" s="62" t="n">
        <f aca="false">COUNTIF('Portfólio Pontuado'!V5:V81,"Fill In")/COUNTA('Portfólio Pontuado'!V5:V81)</f>
        <v>0.337662337662338</v>
      </c>
      <c r="F8" s="67" t="s">
        <v>268</v>
      </c>
      <c r="G8" s="61" t="n">
        <f aca="false">SUMPRODUCT(--(LEFT('Portfólio Pontuado'!D5:D81,1)="I"))</f>
        <v>4</v>
      </c>
      <c r="H8" s="62" t="n">
        <f aca="false">G8/COUNTA('Portfólio Pontuado'!V5:V81)</f>
        <v>0.051948051948052</v>
      </c>
    </row>
    <row r="9" customFormat="false" ht="15" hidden="false" customHeight="false" outlineLevel="0" collapsed="false">
      <c r="B9" s="68" t="s">
        <v>292</v>
      </c>
      <c r="C9" s="61" t="n">
        <f aca="false">COUNTIF('Portfólio Pontuado'!V5:V81,"Money Pit")</f>
        <v>3</v>
      </c>
      <c r="D9" s="62" t="n">
        <f aca="false">COUNTIF('Portfólio Pontuado'!V5:V81,"Money Pit")/COUNTA('Portfólio Pontuado'!V5:V81)</f>
        <v>0.038961038961039</v>
      </c>
      <c r="F9" s="69" t="s">
        <v>32</v>
      </c>
      <c r="G9" s="61" t="n">
        <f aca="false">SUMPRODUCT(--(LEFT('Portfólio Pontuado'!D5:D81,1)="C"))</f>
        <v>2</v>
      </c>
      <c r="H9" s="62" t="n">
        <f aca="false">G9/COUNTA('Portfólio Pontuado'!V5:V81)</f>
        <v>0.025974025974026</v>
      </c>
    </row>
    <row r="10" customFormat="false" ht="15" hidden="false" customHeight="false" outlineLevel="0" collapsed="false">
      <c r="F10" s="70" t="s">
        <v>269</v>
      </c>
      <c r="G10" s="61" t="n">
        <f aca="false">SUMPRODUCT(--(LEFT('Portfólio Pontuado'!D5:D81,1)="O"))</f>
        <v>51</v>
      </c>
      <c r="H10" s="62" t="n">
        <f aca="false">G10/COUNTA('Portfólio Pontuado'!V5:V81)</f>
        <v>0.662337662337662</v>
      </c>
    </row>
    <row r="11" customFormat="false" ht="15" hidden="false" customHeight="false" outlineLevel="0" collapsed="false">
      <c r="F11" s="71" t="s">
        <v>270</v>
      </c>
      <c r="G11" s="61" t="n">
        <f aca="false">SUMPRODUCT(--(LEFT('Portfólio Pontuado'!D5:D81,1)="H"))</f>
        <v>3</v>
      </c>
      <c r="H11" s="62" t="n">
        <f aca="false">G11/COUNTA('Portfólio Pontuado'!V5:V81)</f>
        <v>0.038961038961039</v>
      </c>
    </row>
    <row r="14" customFormat="false" ht="15" hidden="false" customHeight="false" outlineLevel="0" collapsed="false">
      <c r="B14" s="7" t="s">
        <v>293</v>
      </c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B15" s="42" t="s">
        <v>294</v>
      </c>
      <c r="C15" s="42"/>
      <c r="D15" s="72" t="n">
        <f aca="false">COUNTA('Portfólio Pontuado'!V5:V81)</f>
        <v>77</v>
      </c>
    </row>
    <row r="16" customFormat="false" ht="15" hidden="false" customHeight="true" outlineLevel="0" collapsed="false">
      <c r="B16" s="42" t="s">
        <v>295</v>
      </c>
      <c r="C16" s="42"/>
      <c r="D16" s="73" t="n">
        <f aca="false">AVERAGE('Portfólio Pontuado'!T5:T81)</f>
        <v>3.22987012987013</v>
      </c>
    </row>
    <row r="17" customFormat="false" ht="15" hidden="false" customHeight="true" outlineLevel="0" collapsed="false">
      <c r="B17" s="42" t="s">
        <v>296</v>
      </c>
      <c r="C17" s="42"/>
      <c r="D17" s="73" t="n">
        <f aca="false">AVERAGE('Portfólio Pontuado'!U5:U81)</f>
        <v>2.85974025974026</v>
      </c>
    </row>
    <row r="18" customFormat="false" ht="15" hidden="false" customHeight="true" outlineLevel="0" collapsed="false">
      <c r="B18" s="42" t="s">
        <v>297</v>
      </c>
      <c r="C18" s="42"/>
      <c r="D18" s="72" t="n">
        <f aca="false">COUNTIF('Portfólio Pontuado'!P5:P81,"Baixa")</f>
        <v>0</v>
      </c>
    </row>
    <row r="19" customFormat="false" ht="15" hidden="false" customHeight="true" outlineLevel="0" collapsed="false">
      <c r="B19" s="42" t="s">
        <v>298</v>
      </c>
      <c r="C19" s="42"/>
      <c r="D19" s="74" t="n">
        <f aca="false">COUNTIF('Portfólio Pontuado'!P5:P81,"Baixa")/COUNTA('Portfólio Pontuado'!V5:V81)</f>
        <v>0</v>
      </c>
    </row>
    <row r="22" customFormat="false" ht="15" hidden="false" customHeight="false" outlineLevel="0" collapsed="false">
      <c r="B22" s="7" t="s">
        <v>299</v>
      </c>
      <c r="C22" s="7"/>
      <c r="D22" s="7"/>
      <c r="E22" s="7"/>
      <c r="F22" s="7"/>
      <c r="G22" s="7"/>
      <c r="H22" s="7"/>
    </row>
    <row r="23" customFormat="false" ht="30" hidden="false" customHeight="true" outlineLevel="0" collapsed="false">
      <c r="B23" s="75" t="s">
        <v>300</v>
      </c>
      <c r="C23" s="75"/>
      <c r="D23" s="75"/>
      <c r="E23" s="75"/>
      <c r="F23" s="75"/>
      <c r="G23" s="75"/>
      <c r="H23" s="75"/>
    </row>
    <row r="24" customFormat="false" ht="30" hidden="false" customHeight="true" outlineLevel="0" collapsed="false">
      <c r="B24" s="75" t="s">
        <v>301</v>
      </c>
      <c r="C24" s="75"/>
      <c r="D24" s="75"/>
      <c r="E24" s="75"/>
      <c r="F24" s="75"/>
      <c r="G24" s="75"/>
      <c r="H24" s="75"/>
    </row>
    <row r="25" customFormat="false" ht="30" hidden="false" customHeight="true" outlineLevel="0" collapsed="false">
      <c r="B25" s="75" t="s">
        <v>302</v>
      </c>
      <c r="C25" s="75"/>
      <c r="D25" s="75"/>
      <c r="E25" s="75"/>
      <c r="F25" s="75"/>
      <c r="G25" s="75"/>
      <c r="H25" s="75"/>
    </row>
    <row r="26" customFormat="false" ht="30" hidden="false" customHeight="true" outlineLevel="0" collapsed="false">
      <c r="B26" s="75" t="s">
        <v>303</v>
      </c>
      <c r="C26" s="75"/>
      <c r="D26" s="75"/>
      <c r="E26" s="75"/>
      <c r="F26" s="75"/>
      <c r="G26" s="75"/>
      <c r="H26" s="75"/>
    </row>
  </sheetData>
  <mergeCells count="14">
    <mergeCell ref="B2:H2"/>
    <mergeCell ref="B4:D4"/>
    <mergeCell ref="F4:H4"/>
    <mergeCell ref="B14:H14"/>
    <mergeCell ref="B15:C15"/>
    <mergeCell ref="B16:C16"/>
    <mergeCell ref="B17:C17"/>
    <mergeCell ref="B18:C18"/>
    <mergeCell ref="B19:C19"/>
    <mergeCell ref="B22:H22"/>
    <mergeCell ref="B23:H23"/>
    <mergeCell ref="B24:H24"/>
    <mergeCell ref="B25:H25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6609</TotalTime>
  <Application>Bree_XLSX_Editor/1.0.0.$MacOSX_AARCH64 LibreOffice_project/f7d6d942a850425cf6044c1d4f6799f198f0c6da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2026-05-26T17:01:26Z</dcterms:created>
  <dc:creator>openpyxl</dc:creator>
  <dc:description/>
  <dc:language>en-US</dc:language>
  <cp:lastModifiedBy/>
  <dcterms:modified xsi:type="dcterms:W3CDTF">2026-06-02T12:06:34Z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